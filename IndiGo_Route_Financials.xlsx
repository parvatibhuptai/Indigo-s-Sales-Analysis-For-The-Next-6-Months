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73c2a0f9a8b0d1/Desktop/"/>
    </mc:Choice>
  </mc:AlternateContent>
  <xr:revisionPtr revIDLastSave="222" documentId="13_ncr:1_{1C229C5F-4512-4AF1-830D-D8B9432D6AD2}" xr6:coauthVersionLast="47" xr6:coauthVersionMax="47" xr10:uidLastSave="{4CAFD6F6-90A2-4D7E-BFDE-71D5EC92FC93}"/>
  <bookViews>
    <workbookView xWindow="-108" yWindow="-108" windowWidth="23256" windowHeight="12456" firstSheet="2" activeTab="8" xr2:uid="{00000000-000D-0000-FFFF-FFFF00000000}"/>
  </bookViews>
  <sheets>
    <sheet name="Sheet2" sheetId="2" r:id="rId1"/>
    <sheet name="Sheet4" sheetId="4" r:id="rId2"/>
    <sheet name="Sheet5" sheetId="11" r:id="rId3"/>
    <sheet name="Sheet6" sheetId="12" r:id="rId4"/>
    <sheet name="Sheet7" sheetId="13" r:id="rId5"/>
    <sheet name="Sheet8" sheetId="14" r:id="rId6"/>
    <sheet name="Sheet1" sheetId="1" r:id="rId7"/>
    <sheet name="Sheet10" sheetId="16" r:id="rId8"/>
    <sheet name="Sheet9" sheetId="15" r:id="rId9"/>
    <sheet name="Sheet3" sheetId="3" r:id="rId10"/>
  </sheets>
  <calcPr calcId="191029"/>
  <pivotCaches>
    <pivotCache cacheId="6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3" l="1"/>
  <c r="H13" i="3"/>
  <c r="H14" i="3" s="1"/>
  <c r="H16" i="3" s="1"/>
  <c r="H19" i="3" s="1"/>
  <c r="H22" i="3" s="1"/>
  <c r="H12" i="3"/>
  <c r="H10" i="3"/>
  <c r="H6" i="3"/>
  <c r="H4" i="3"/>
  <c r="H8" i="3" s="1"/>
  <c r="H3" i="3"/>
  <c r="H7" i="3" s="1"/>
  <c r="H2" i="3"/>
  <c r="C6" i="16"/>
  <c r="H5" i="3" l="1"/>
  <c r="H9" i="3" s="1"/>
  <c r="H11" i="3" s="1"/>
  <c r="D6" i="16"/>
  <c r="E6" i="16"/>
  <c r="H18" i="3" l="1"/>
  <c r="H17" i="3"/>
  <c r="H21" i="3" l="1"/>
  <c r="H20" i="3"/>
  <c r="H23" i="3" s="1"/>
  <c r="H24" i="3" l="1"/>
</calcChain>
</file>

<file path=xl/sharedStrings.xml><?xml version="1.0" encoding="utf-8"?>
<sst xmlns="http://schemas.openxmlformats.org/spreadsheetml/2006/main" count="302" uniqueCount="125">
  <si>
    <t>Aircraft</t>
  </si>
  <si>
    <t>Flights/Year</t>
  </si>
  <si>
    <t>Annual Revenue (₹ Cr)</t>
  </si>
  <si>
    <t>Economy Revenue (₹ Cr)</t>
  </si>
  <si>
    <t>Stretch Revenue (₹ Cr)</t>
  </si>
  <si>
    <t>Annual Cost (₹ Cr)</t>
  </si>
  <si>
    <t>Profit/LOSS (₹ Cr)</t>
  </si>
  <si>
    <t>Margin</t>
  </si>
  <si>
    <t>Mumbai – Tbilisi</t>
  </si>
  <si>
    <t>Mumbai – Copenhagen</t>
  </si>
  <si>
    <t>Mumbai – Denpasar (Bali)</t>
  </si>
  <si>
    <t>Kolkata – Guangzhou</t>
  </si>
  <si>
    <t>Mumbai – London (Heathrow)</t>
  </si>
  <si>
    <t>Thiruvananthapuram – Malé</t>
  </si>
  <si>
    <t>Pune – Bangkok</t>
  </si>
  <si>
    <t>Pune – Dubai</t>
  </si>
  <si>
    <t>Delhi – Guangzhou</t>
  </si>
  <si>
    <t>Kolkata – Siem Reap</t>
  </si>
  <si>
    <t>Mumbai – Madinah</t>
  </si>
  <si>
    <t>Vijayawada – Singapore</t>
  </si>
  <si>
    <t>Bengaluru – Riyadh</t>
  </si>
  <si>
    <t>Delhi – Hanoi</t>
  </si>
  <si>
    <t>Mumbai – Athens</t>
  </si>
  <si>
    <t>Delhi – Athens</t>
  </si>
  <si>
    <t>Bhubaneswar – Abu Dhabi</t>
  </si>
  <si>
    <t>Delhi – Almaty</t>
  </si>
  <si>
    <t>Mumbai – Almaty</t>
  </si>
  <si>
    <t>Delhi – Tashkent</t>
  </si>
  <si>
    <t>Mumbai – Tashkent</t>
  </si>
  <si>
    <t>Mumbai – Amsterdam</t>
  </si>
  <si>
    <t>Mumbai – Seychelles</t>
  </si>
  <si>
    <t>A320 (12J/168Y)</t>
  </si>
  <si>
    <t>787-9 (Leased)</t>
  </si>
  <si>
    <t>A320neo (12J/168Y)</t>
  </si>
  <si>
    <t>A321XLR (20J/190Y)</t>
  </si>
  <si>
    <t>-93.8%</t>
  </si>
  <si>
    <t>-19.6%</t>
  </si>
  <si>
    <t>-112.0%</t>
  </si>
  <si>
    <t>-41.1%</t>
  </si>
  <si>
    <t>3.3%</t>
  </si>
  <si>
    <t>-39.4%</t>
  </si>
  <si>
    <t>-81.0%</t>
  </si>
  <si>
    <t>-68.4%</t>
  </si>
  <si>
    <t>-56.4%</t>
  </si>
  <si>
    <t>-104.8%</t>
  </si>
  <si>
    <t>-123.0%</t>
  </si>
  <si>
    <t>-91.5%</t>
  </si>
  <si>
    <t>-81.6%</t>
  </si>
  <si>
    <t>-94.5%</t>
  </si>
  <si>
    <t>12.4%</t>
  </si>
  <si>
    <t>18.2%</t>
  </si>
  <si>
    <t>-98.0%</t>
  </si>
  <si>
    <t>-80.1%</t>
  </si>
  <si>
    <t>-112.8%</t>
  </si>
  <si>
    <t>-80.2%</t>
  </si>
  <si>
    <t>-112.5%</t>
  </si>
  <si>
    <t>-45.0%</t>
  </si>
  <si>
    <t>-59.1%</t>
  </si>
  <si>
    <t>Sum of Annual Revenue (₹ Cr)</t>
  </si>
  <si>
    <t>Grand Total</t>
  </si>
  <si>
    <t>Row Labels</t>
  </si>
  <si>
    <t>STEP</t>
  </si>
  <si>
    <t>PARAMETER</t>
  </si>
  <si>
    <t>VALUE / FORMULA</t>
  </si>
  <si>
    <t>NOTES</t>
  </si>
  <si>
    <t>SNO.</t>
  </si>
  <si>
    <t xml:space="preserve">VALUES </t>
  </si>
  <si>
    <t>CALCULATION</t>
  </si>
  <si>
    <t>Aircraft Type</t>
  </si>
  <si>
    <t>A320 (12J / 168Y = 180 seats)</t>
  </si>
  <si>
    <t>Total Seats</t>
  </si>
  <si>
    <t>Seats Stretch</t>
  </si>
  <si>
    <t>Input</t>
  </si>
  <si>
    <t>Pax Stretch</t>
  </si>
  <si>
    <t>Seats Economy</t>
  </si>
  <si>
    <t>Pax Economy</t>
  </si>
  <si>
    <t>Load Factor Stretch</t>
  </si>
  <si>
    <t>Input (80%)</t>
  </si>
  <si>
    <t>Total Pax</t>
  </si>
  <si>
    <t>Load Factor Economy</t>
  </si>
  <si>
    <t>Input (88%)</t>
  </si>
  <si>
    <t>Flights per year</t>
  </si>
  <si>
    <t>Flights per week</t>
  </si>
  <si>
    <t>Stretch revenue/flight</t>
  </si>
  <si>
    <t>Weeks per year</t>
  </si>
  <si>
    <t>Economy revenue/flight</t>
  </si>
  <si>
    <t>Stretch Fare</t>
  </si>
  <si>
    <t>Ancillary revenue/flight</t>
  </si>
  <si>
    <t>Economy Fare</t>
  </si>
  <si>
    <t>Cargo revenue/flight</t>
  </si>
  <si>
    <t>Ancillary per pax</t>
  </si>
  <si>
    <t>Total revenue/flight</t>
  </si>
  <si>
    <t>Cargo tonnes/flight</t>
  </si>
  <si>
    <t>Fuel kg/flight</t>
  </si>
  <si>
    <t>Cargo rate/tonne</t>
  </si>
  <si>
    <t>Fuel liters/flight</t>
  </si>
  <si>
    <t>Fuel burn (kg/hr)</t>
  </si>
  <si>
    <t>Fuel cost/flight</t>
  </si>
  <si>
    <t>Block time (hrs)</t>
  </si>
  <si>
    <t>Other costs</t>
  </si>
  <si>
    <t>Fuel density</t>
  </si>
  <si>
    <t>Total cost/flight</t>
  </si>
  <si>
    <t>Fuel price (â‚¹/L)</t>
  </si>
  <si>
    <t>Profit/Loss per flight</t>
  </si>
  <si>
    <t>Lease cost/flight</t>
  </si>
  <si>
    <t>Annual Revenue</t>
  </si>
  <si>
    <t>Airport+Nav</t>
  </si>
  <si>
    <t>Annual Cost</t>
  </si>
  <si>
    <t>Crew cost</t>
  </si>
  <si>
    <t>Annual Profit/Loss</t>
  </si>
  <si>
    <t>Maintenance</t>
  </si>
  <si>
    <t>Annual Revenue (â‚¹ Cr)</t>
  </si>
  <si>
    <t>Catering</t>
  </si>
  <si>
    <t>Annual Cost (â‚¹ Cr)</t>
  </si>
  <si>
    <t>Annual Profit/Loss (â‚¹ Cr)</t>
  </si>
  <si>
    <t>Sum of Annual Cost (₹ Cr)</t>
  </si>
  <si>
    <t>Sum of Economy Revenue (₹ Cr)</t>
  </si>
  <si>
    <t>Sum of Stretch Revenue (₹ Cr)</t>
  </si>
  <si>
    <t>SUM</t>
  </si>
  <si>
    <t xml:space="preserve">Aircraft name </t>
  </si>
  <si>
    <t xml:space="preserve">No. assigned </t>
  </si>
  <si>
    <t>RouteA1:G30</t>
  </si>
  <si>
    <t>Forecast(Profit/LOSS (₹ Cr))</t>
  </si>
  <si>
    <t>Lower Confidence Bound(Profit/LOSS (₹ Cr))</t>
  </si>
  <si>
    <t>Upper Confidence Bound(Profit/LOSS (₹ Cr))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</si>
</sst>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[IndiGo_Route_Financials.xlsx]Sheet2!PivotTable1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Annual Revenue (₹ Cr)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Sheet2!$A$4:$A$27</c:f>
              <c:strCache>
                <c:ptCount val="23"/>
                <c:pt idx="0">
                  <c:v>Bengaluru – Riyadh</c:v>
                </c:pt>
                <c:pt idx="1">
                  <c:v>Bhubaneswar – Abu Dhabi</c:v>
                </c:pt>
                <c:pt idx="2">
                  <c:v>Delhi – Almaty</c:v>
                </c:pt>
                <c:pt idx="3">
                  <c:v>Delhi – Athens</c:v>
                </c:pt>
                <c:pt idx="4">
                  <c:v>Delhi – Guangzhou</c:v>
                </c:pt>
                <c:pt idx="5">
                  <c:v>Delhi – Hanoi</c:v>
                </c:pt>
                <c:pt idx="6">
                  <c:v>Delhi – Tashkent</c:v>
                </c:pt>
                <c:pt idx="7">
                  <c:v>Kolkata – Guangzhou</c:v>
                </c:pt>
                <c:pt idx="8">
                  <c:v>Kolkata – Siem Reap</c:v>
                </c:pt>
                <c:pt idx="9">
                  <c:v>Mumbai – Almaty</c:v>
                </c:pt>
                <c:pt idx="10">
                  <c:v>Mumbai – Amsterdam</c:v>
                </c:pt>
                <c:pt idx="11">
                  <c:v>Mumbai – Athens</c:v>
                </c:pt>
                <c:pt idx="12">
                  <c:v>Mumbai – Copenhagen</c:v>
                </c:pt>
                <c:pt idx="13">
                  <c:v>Mumbai – Denpasar (Bali)</c:v>
                </c:pt>
                <c:pt idx="14">
                  <c:v>Mumbai – London (Heathrow)</c:v>
                </c:pt>
                <c:pt idx="15">
                  <c:v>Mumbai – Madinah</c:v>
                </c:pt>
                <c:pt idx="16">
                  <c:v>Mumbai – Seychelles</c:v>
                </c:pt>
                <c:pt idx="17">
                  <c:v>Mumbai – Tashkent</c:v>
                </c:pt>
                <c:pt idx="18">
                  <c:v>Mumbai – Tbilisi</c:v>
                </c:pt>
                <c:pt idx="19">
                  <c:v>Pune – Bangkok</c:v>
                </c:pt>
                <c:pt idx="20">
                  <c:v>Pune – Dubai</c:v>
                </c:pt>
                <c:pt idx="21">
                  <c:v>Thiruvananthapuram – Malé</c:v>
                </c:pt>
                <c:pt idx="22">
                  <c:v>Vijayawada – Singapore</c:v>
                </c:pt>
              </c:strCache>
            </c:strRef>
          </c:cat>
          <c:val>
            <c:numRef>
              <c:f>Sheet2!$B$4:$B$27</c:f>
              <c:numCache>
                <c:formatCode>General</c:formatCode>
                <c:ptCount val="23"/>
                <c:pt idx="0">
                  <c:v>74.319999999999993</c:v>
                </c:pt>
                <c:pt idx="1">
                  <c:v>28.93</c:v>
                </c:pt>
                <c:pt idx="2">
                  <c:v>36.61</c:v>
                </c:pt>
                <c:pt idx="3">
                  <c:v>157.97999999999999</c:v>
                </c:pt>
                <c:pt idx="4">
                  <c:v>106.82</c:v>
                </c:pt>
                <c:pt idx="5">
                  <c:v>88.8</c:v>
                </c:pt>
                <c:pt idx="6">
                  <c:v>34.880000000000003</c:v>
                </c:pt>
                <c:pt idx="7">
                  <c:v>96.75</c:v>
                </c:pt>
                <c:pt idx="8">
                  <c:v>23.96</c:v>
                </c:pt>
                <c:pt idx="9">
                  <c:v>33.21</c:v>
                </c:pt>
                <c:pt idx="10">
                  <c:v>187.2</c:v>
                </c:pt>
                <c:pt idx="11">
                  <c:v>143.63</c:v>
                </c:pt>
                <c:pt idx="12">
                  <c:v>222.08</c:v>
                </c:pt>
                <c:pt idx="13">
                  <c:v>89.96</c:v>
                </c:pt>
                <c:pt idx="14">
                  <c:v>697.59</c:v>
                </c:pt>
                <c:pt idx="15">
                  <c:v>68.42</c:v>
                </c:pt>
                <c:pt idx="16">
                  <c:v>61.22</c:v>
                </c:pt>
                <c:pt idx="17">
                  <c:v>32.44</c:v>
                </c:pt>
                <c:pt idx="18">
                  <c:v>41.02</c:v>
                </c:pt>
                <c:pt idx="19">
                  <c:v>35.130000000000003</c:v>
                </c:pt>
                <c:pt idx="20">
                  <c:v>77.97</c:v>
                </c:pt>
                <c:pt idx="21">
                  <c:v>57</c:v>
                </c:pt>
                <c:pt idx="22">
                  <c:v>29.44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78-425D-BC93-B63619C1D6C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Annual Cost (₹ Cr)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Sheet2!$A$4:$A$27</c:f>
              <c:strCache>
                <c:ptCount val="23"/>
                <c:pt idx="0">
                  <c:v>Bengaluru – Riyadh</c:v>
                </c:pt>
                <c:pt idx="1">
                  <c:v>Bhubaneswar – Abu Dhabi</c:v>
                </c:pt>
                <c:pt idx="2">
                  <c:v>Delhi – Almaty</c:v>
                </c:pt>
                <c:pt idx="3">
                  <c:v>Delhi – Athens</c:v>
                </c:pt>
                <c:pt idx="4">
                  <c:v>Delhi – Guangzhou</c:v>
                </c:pt>
                <c:pt idx="5">
                  <c:v>Delhi – Hanoi</c:v>
                </c:pt>
                <c:pt idx="6">
                  <c:v>Delhi – Tashkent</c:v>
                </c:pt>
                <c:pt idx="7">
                  <c:v>Kolkata – Guangzhou</c:v>
                </c:pt>
                <c:pt idx="8">
                  <c:v>Kolkata – Siem Reap</c:v>
                </c:pt>
                <c:pt idx="9">
                  <c:v>Mumbai – Almaty</c:v>
                </c:pt>
                <c:pt idx="10">
                  <c:v>Mumbai – Amsterdam</c:v>
                </c:pt>
                <c:pt idx="11">
                  <c:v>Mumbai – Athens</c:v>
                </c:pt>
                <c:pt idx="12">
                  <c:v>Mumbai – Copenhagen</c:v>
                </c:pt>
                <c:pt idx="13">
                  <c:v>Mumbai – Denpasar (Bali)</c:v>
                </c:pt>
                <c:pt idx="14">
                  <c:v>Mumbai – London (Heathrow)</c:v>
                </c:pt>
                <c:pt idx="15">
                  <c:v>Mumbai – Madinah</c:v>
                </c:pt>
                <c:pt idx="16">
                  <c:v>Mumbai – Seychelles</c:v>
                </c:pt>
                <c:pt idx="17">
                  <c:v>Mumbai – Tashkent</c:v>
                </c:pt>
                <c:pt idx="18">
                  <c:v>Mumbai – Tbilisi</c:v>
                </c:pt>
                <c:pt idx="19">
                  <c:v>Pune – Bangkok</c:v>
                </c:pt>
                <c:pt idx="20">
                  <c:v>Pune – Dubai</c:v>
                </c:pt>
                <c:pt idx="21">
                  <c:v>Thiruvananthapuram – Malé</c:v>
                </c:pt>
                <c:pt idx="22">
                  <c:v>Vijayawada – Singapore</c:v>
                </c:pt>
              </c:strCache>
            </c:strRef>
          </c:cat>
          <c:val>
            <c:numRef>
              <c:f>Sheet2!$C$4:$C$27</c:f>
              <c:numCache>
                <c:formatCode>General</c:formatCode>
                <c:ptCount val="23"/>
                <c:pt idx="0">
                  <c:v>135.01</c:v>
                </c:pt>
                <c:pt idx="1">
                  <c:v>57.3</c:v>
                </c:pt>
                <c:pt idx="2">
                  <c:v>65.94</c:v>
                </c:pt>
                <c:pt idx="3">
                  <c:v>129.28</c:v>
                </c:pt>
                <c:pt idx="4">
                  <c:v>167.11</c:v>
                </c:pt>
                <c:pt idx="5">
                  <c:v>172.67</c:v>
                </c:pt>
                <c:pt idx="6">
                  <c:v>62.85</c:v>
                </c:pt>
                <c:pt idx="7">
                  <c:v>136.51</c:v>
                </c:pt>
                <c:pt idx="8">
                  <c:v>49.06</c:v>
                </c:pt>
                <c:pt idx="9">
                  <c:v>70.680000000000007</c:v>
                </c:pt>
                <c:pt idx="10">
                  <c:v>271.36</c:v>
                </c:pt>
                <c:pt idx="11">
                  <c:v>125.87</c:v>
                </c:pt>
                <c:pt idx="12">
                  <c:v>265.67</c:v>
                </c:pt>
                <c:pt idx="13">
                  <c:v>190.74</c:v>
                </c:pt>
                <c:pt idx="14">
                  <c:v>674.88</c:v>
                </c:pt>
                <c:pt idx="15">
                  <c:v>152.53</c:v>
                </c:pt>
                <c:pt idx="16">
                  <c:v>97.36</c:v>
                </c:pt>
                <c:pt idx="17">
                  <c:v>68.94</c:v>
                </c:pt>
                <c:pt idx="18">
                  <c:v>79.489999999999995</c:v>
                </c:pt>
                <c:pt idx="19">
                  <c:v>63.57</c:v>
                </c:pt>
                <c:pt idx="20">
                  <c:v>131.29</c:v>
                </c:pt>
                <c:pt idx="21">
                  <c:v>79.489999999999995</c:v>
                </c:pt>
                <c:pt idx="22">
                  <c:v>56.34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78-425D-BC93-B63619C1D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[IndiGo_Route_Financials.xlsx]Sheet2!PivotTable1</c:name>
    <c:fmtId val="2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Annual Revenue (₹ Cr)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Sheet2!$A$4:$A$27</c:f>
              <c:strCache>
                <c:ptCount val="23"/>
                <c:pt idx="0">
                  <c:v>Bengaluru – Riyadh</c:v>
                </c:pt>
                <c:pt idx="1">
                  <c:v>Bhubaneswar – Abu Dhabi</c:v>
                </c:pt>
                <c:pt idx="2">
                  <c:v>Delhi – Almaty</c:v>
                </c:pt>
                <c:pt idx="3">
                  <c:v>Delhi – Athens</c:v>
                </c:pt>
                <c:pt idx="4">
                  <c:v>Delhi – Guangzhou</c:v>
                </c:pt>
                <c:pt idx="5">
                  <c:v>Delhi – Hanoi</c:v>
                </c:pt>
                <c:pt idx="6">
                  <c:v>Delhi – Tashkent</c:v>
                </c:pt>
                <c:pt idx="7">
                  <c:v>Kolkata – Guangzhou</c:v>
                </c:pt>
                <c:pt idx="8">
                  <c:v>Kolkata – Siem Reap</c:v>
                </c:pt>
                <c:pt idx="9">
                  <c:v>Mumbai – Almaty</c:v>
                </c:pt>
                <c:pt idx="10">
                  <c:v>Mumbai – Amsterdam</c:v>
                </c:pt>
                <c:pt idx="11">
                  <c:v>Mumbai – Athens</c:v>
                </c:pt>
                <c:pt idx="12">
                  <c:v>Mumbai – Copenhagen</c:v>
                </c:pt>
                <c:pt idx="13">
                  <c:v>Mumbai – Denpasar (Bali)</c:v>
                </c:pt>
                <c:pt idx="14">
                  <c:v>Mumbai – London (Heathrow)</c:v>
                </c:pt>
                <c:pt idx="15">
                  <c:v>Mumbai – Madinah</c:v>
                </c:pt>
                <c:pt idx="16">
                  <c:v>Mumbai – Seychelles</c:v>
                </c:pt>
                <c:pt idx="17">
                  <c:v>Mumbai – Tashkent</c:v>
                </c:pt>
                <c:pt idx="18">
                  <c:v>Mumbai – Tbilisi</c:v>
                </c:pt>
                <c:pt idx="19">
                  <c:v>Pune – Bangkok</c:v>
                </c:pt>
                <c:pt idx="20">
                  <c:v>Pune – Dubai</c:v>
                </c:pt>
                <c:pt idx="21">
                  <c:v>Thiruvananthapuram – Malé</c:v>
                </c:pt>
                <c:pt idx="22">
                  <c:v>Vijayawada – Singapore</c:v>
                </c:pt>
              </c:strCache>
            </c:strRef>
          </c:cat>
          <c:val>
            <c:numRef>
              <c:f>Sheet2!$B$4:$B$27</c:f>
              <c:numCache>
                <c:formatCode>General</c:formatCode>
                <c:ptCount val="23"/>
                <c:pt idx="0">
                  <c:v>74.319999999999993</c:v>
                </c:pt>
                <c:pt idx="1">
                  <c:v>28.93</c:v>
                </c:pt>
                <c:pt idx="2">
                  <c:v>36.61</c:v>
                </c:pt>
                <c:pt idx="3">
                  <c:v>157.97999999999999</c:v>
                </c:pt>
                <c:pt idx="4">
                  <c:v>106.82</c:v>
                </c:pt>
                <c:pt idx="5">
                  <c:v>88.8</c:v>
                </c:pt>
                <c:pt idx="6">
                  <c:v>34.880000000000003</c:v>
                </c:pt>
                <c:pt idx="7">
                  <c:v>96.75</c:v>
                </c:pt>
                <c:pt idx="8">
                  <c:v>23.96</c:v>
                </c:pt>
                <c:pt idx="9">
                  <c:v>33.21</c:v>
                </c:pt>
                <c:pt idx="10">
                  <c:v>187.2</c:v>
                </c:pt>
                <c:pt idx="11">
                  <c:v>143.63</c:v>
                </c:pt>
                <c:pt idx="12">
                  <c:v>222.08</c:v>
                </c:pt>
                <c:pt idx="13">
                  <c:v>89.96</c:v>
                </c:pt>
                <c:pt idx="14">
                  <c:v>697.59</c:v>
                </c:pt>
                <c:pt idx="15">
                  <c:v>68.42</c:v>
                </c:pt>
                <c:pt idx="16">
                  <c:v>61.22</c:v>
                </c:pt>
                <c:pt idx="17">
                  <c:v>32.44</c:v>
                </c:pt>
                <c:pt idx="18">
                  <c:v>41.02</c:v>
                </c:pt>
                <c:pt idx="19">
                  <c:v>35.130000000000003</c:v>
                </c:pt>
                <c:pt idx="20">
                  <c:v>77.97</c:v>
                </c:pt>
                <c:pt idx="21">
                  <c:v>57</c:v>
                </c:pt>
                <c:pt idx="22">
                  <c:v>29.44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C4-4FF6-84A8-9B518AA96CA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Annual Cost (₹ Cr)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Sheet2!$A$4:$A$27</c:f>
              <c:strCache>
                <c:ptCount val="23"/>
                <c:pt idx="0">
                  <c:v>Bengaluru – Riyadh</c:v>
                </c:pt>
                <c:pt idx="1">
                  <c:v>Bhubaneswar – Abu Dhabi</c:v>
                </c:pt>
                <c:pt idx="2">
                  <c:v>Delhi – Almaty</c:v>
                </c:pt>
                <c:pt idx="3">
                  <c:v>Delhi – Athens</c:v>
                </c:pt>
                <c:pt idx="4">
                  <c:v>Delhi – Guangzhou</c:v>
                </c:pt>
                <c:pt idx="5">
                  <c:v>Delhi – Hanoi</c:v>
                </c:pt>
                <c:pt idx="6">
                  <c:v>Delhi – Tashkent</c:v>
                </c:pt>
                <c:pt idx="7">
                  <c:v>Kolkata – Guangzhou</c:v>
                </c:pt>
                <c:pt idx="8">
                  <c:v>Kolkata – Siem Reap</c:v>
                </c:pt>
                <c:pt idx="9">
                  <c:v>Mumbai – Almaty</c:v>
                </c:pt>
                <c:pt idx="10">
                  <c:v>Mumbai – Amsterdam</c:v>
                </c:pt>
                <c:pt idx="11">
                  <c:v>Mumbai – Athens</c:v>
                </c:pt>
                <c:pt idx="12">
                  <c:v>Mumbai – Copenhagen</c:v>
                </c:pt>
                <c:pt idx="13">
                  <c:v>Mumbai – Denpasar (Bali)</c:v>
                </c:pt>
                <c:pt idx="14">
                  <c:v>Mumbai – London (Heathrow)</c:v>
                </c:pt>
                <c:pt idx="15">
                  <c:v>Mumbai – Madinah</c:v>
                </c:pt>
                <c:pt idx="16">
                  <c:v>Mumbai – Seychelles</c:v>
                </c:pt>
                <c:pt idx="17">
                  <c:v>Mumbai – Tashkent</c:v>
                </c:pt>
                <c:pt idx="18">
                  <c:v>Mumbai – Tbilisi</c:v>
                </c:pt>
                <c:pt idx="19">
                  <c:v>Pune – Bangkok</c:v>
                </c:pt>
                <c:pt idx="20">
                  <c:v>Pune – Dubai</c:v>
                </c:pt>
                <c:pt idx="21">
                  <c:v>Thiruvananthapuram – Malé</c:v>
                </c:pt>
                <c:pt idx="22">
                  <c:v>Vijayawada – Singapore</c:v>
                </c:pt>
              </c:strCache>
            </c:strRef>
          </c:cat>
          <c:val>
            <c:numRef>
              <c:f>Sheet2!$C$4:$C$27</c:f>
              <c:numCache>
                <c:formatCode>General</c:formatCode>
                <c:ptCount val="23"/>
                <c:pt idx="0">
                  <c:v>135.01</c:v>
                </c:pt>
                <c:pt idx="1">
                  <c:v>57.3</c:v>
                </c:pt>
                <c:pt idx="2">
                  <c:v>65.94</c:v>
                </c:pt>
                <c:pt idx="3">
                  <c:v>129.28</c:v>
                </c:pt>
                <c:pt idx="4">
                  <c:v>167.11</c:v>
                </c:pt>
                <c:pt idx="5">
                  <c:v>172.67</c:v>
                </c:pt>
                <c:pt idx="6">
                  <c:v>62.85</c:v>
                </c:pt>
                <c:pt idx="7">
                  <c:v>136.51</c:v>
                </c:pt>
                <c:pt idx="8">
                  <c:v>49.06</c:v>
                </c:pt>
                <c:pt idx="9">
                  <c:v>70.680000000000007</c:v>
                </c:pt>
                <c:pt idx="10">
                  <c:v>271.36</c:v>
                </c:pt>
                <c:pt idx="11">
                  <c:v>125.87</c:v>
                </c:pt>
                <c:pt idx="12">
                  <c:v>265.67</c:v>
                </c:pt>
                <c:pt idx="13">
                  <c:v>190.74</c:v>
                </c:pt>
                <c:pt idx="14">
                  <c:v>674.88</c:v>
                </c:pt>
                <c:pt idx="15">
                  <c:v>152.53</c:v>
                </c:pt>
                <c:pt idx="16">
                  <c:v>97.36</c:v>
                </c:pt>
                <c:pt idx="17">
                  <c:v>68.94</c:v>
                </c:pt>
                <c:pt idx="18">
                  <c:v>79.489999999999995</c:v>
                </c:pt>
                <c:pt idx="19">
                  <c:v>63.57</c:v>
                </c:pt>
                <c:pt idx="20">
                  <c:v>131.29</c:v>
                </c:pt>
                <c:pt idx="21">
                  <c:v>79.489999999999995</c:v>
                </c:pt>
                <c:pt idx="22">
                  <c:v>56.34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C4-4FF6-84A8-9B518AA96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443663"/>
        <c:axId val="395431183"/>
      </c:lineChart>
      <c:catAx>
        <c:axId val="39544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31183"/>
        <c:crosses val="autoZero"/>
        <c:auto val="1"/>
        <c:lblAlgn val="ctr"/>
        <c:lblOffset val="100"/>
        <c:noMultiLvlLbl val="0"/>
      </c:catAx>
      <c:valAx>
        <c:axId val="39543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4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[IndiGo_Route_Financials.xlsx]Sheet5!PivotTable1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787-9 (Leased)</c:v>
                </c:pt>
                <c:pt idx="1">
                  <c:v>A320 (12J/168Y)</c:v>
                </c:pt>
                <c:pt idx="2">
                  <c:v>A320neo (12J/168Y)</c:v>
                </c:pt>
                <c:pt idx="3">
                  <c:v>A321XLR (20J/190Y)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1106.8700000000001</c:v>
                </c:pt>
                <c:pt idx="1">
                  <c:v>896.16999999999985</c:v>
                </c:pt>
                <c:pt idx="2">
                  <c:v>120.71000000000001</c:v>
                </c:pt>
                <c:pt idx="3">
                  <c:v>301.61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6-43DD-8023-8E7BD64F0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822831"/>
        <c:axId val="448870879"/>
      </c:barChart>
      <c:catAx>
        <c:axId val="38682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870879"/>
        <c:crosses val="autoZero"/>
        <c:auto val="1"/>
        <c:lblAlgn val="ctr"/>
        <c:lblOffset val="100"/>
        <c:noMultiLvlLbl val="0"/>
      </c:catAx>
      <c:valAx>
        <c:axId val="44887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82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[IndiGo_Route_Financials.xlsx]Sheet7!PivotTable3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Economy Revenue (₹ Cr)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Sheet7!$A$4:$A$27</c:f>
              <c:strCache>
                <c:ptCount val="23"/>
                <c:pt idx="0">
                  <c:v>Bengaluru – Riyadh</c:v>
                </c:pt>
                <c:pt idx="1">
                  <c:v>Bhubaneswar – Abu Dhabi</c:v>
                </c:pt>
                <c:pt idx="2">
                  <c:v>Delhi – Almaty</c:v>
                </c:pt>
                <c:pt idx="3">
                  <c:v>Delhi – Athens</c:v>
                </c:pt>
                <c:pt idx="4">
                  <c:v>Delhi – Guangzhou</c:v>
                </c:pt>
                <c:pt idx="5">
                  <c:v>Delhi – Hanoi</c:v>
                </c:pt>
                <c:pt idx="6">
                  <c:v>Delhi – Tashkent</c:v>
                </c:pt>
                <c:pt idx="7">
                  <c:v>Kolkata – Guangzhou</c:v>
                </c:pt>
                <c:pt idx="8">
                  <c:v>Kolkata – Siem Reap</c:v>
                </c:pt>
                <c:pt idx="9">
                  <c:v>Mumbai – Almaty</c:v>
                </c:pt>
                <c:pt idx="10">
                  <c:v>Mumbai – Amsterdam</c:v>
                </c:pt>
                <c:pt idx="11">
                  <c:v>Mumbai – Athens</c:v>
                </c:pt>
                <c:pt idx="12">
                  <c:v>Mumbai – Copenhagen</c:v>
                </c:pt>
                <c:pt idx="13">
                  <c:v>Mumbai – Denpasar (Bali)</c:v>
                </c:pt>
                <c:pt idx="14">
                  <c:v>Mumbai – London (Heathrow)</c:v>
                </c:pt>
                <c:pt idx="15">
                  <c:v>Mumbai – Madinah</c:v>
                </c:pt>
                <c:pt idx="16">
                  <c:v>Mumbai – Seychelles</c:v>
                </c:pt>
                <c:pt idx="17">
                  <c:v>Mumbai – Tashkent</c:v>
                </c:pt>
                <c:pt idx="18">
                  <c:v>Mumbai – Tbilisi</c:v>
                </c:pt>
                <c:pt idx="19">
                  <c:v>Pune – Bangkok</c:v>
                </c:pt>
                <c:pt idx="20">
                  <c:v>Pune – Dubai</c:v>
                </c:pt>
                <c:pt idx="21">
                  <c:v>Thiruvananthapuram – Malé</c:v>
                </c:pt>
                <c:pt idx="22">
                  <c:v>Vijayawada – Singapore</c:v>
                </c:pt>
              </c:strCache>
            </c:strRef>
          </c:cat>
          <c:val>
            <c:numRef>
              <c:f>Sheet7!$B$4:$B$27</c:f>
              <c:numCache>
                <c:formatCode>General</c:formatCode>
                <c:ptCount val="23"/>
                <c:pt idx="0">
                  <c:v>55.64</c:v>
                </c:pt>
                <c:pt idx="1">
                  <c:v>20.64</c:v>
                </c:pt>
                <c:pt idx="2">
                  <c:v>27.69</c:v>
                </c:pt>
                <c:pt idx="3">
                  <c:v>117.23</c:v>
                </c:pt>
                <c:pt idx="4">
                  <c:v>80.930000000000007</c:v>
                </c:pt>
                <c:pt idx="5">
                  <c:v>67.38</c:v>
                </c:pt>
                <c:pt idx="6">
                  <c:v>26.33</c:v>
                </c:pt>
                <c:pt idx="7">
                  <c:v>73.06</c:v>
                </c:pt>
                <c:pt idx="8">
                  <c:v>18.09</c:v>
                </c:pt>
                <c:pt idx="9">
                  <c:v>24.94</c:v>
                </c:pt>
                <c:pt idx="10">
                  <c:v>131.04</c:v>
                </c:pt>
                <c:pt idx="11">
                  <c:v>104.21</c:v>
                </c:pt>
                <c:pt idx="12">
                  <c:v>142.08000000000001</c:v>
                </c:pt>
                <c:pt idx="13">
                  <c:v>66</c:v>
                </c:pt>
                <c:pt idx="14">
                  <c:v>454.56</c:v>
                </c:pt>
                <c:pt idx="15">
                  <c:v>49.6</c:v>
                </c:pt>
                <c:pt idx="16">
                  <c:v>48.92</c:v>
                </c:pt>
                <c:pt idx="17">
                  <c:v>24.36</c:v>
                </c:pt>
                <c:pt idx="18">
                  <c:v>31.36</c:v>
                </c:pt>
                <c:pt idx="19">
                  <c:v>26.58</c:v>
                </c:pt>
                <c:pt idx="20">
                  <c:v>55.12</c:v>
                </c:pt>
                <c:pt idx="21">
                  <c:v>44.03</c:v>
                </c:pt>
                <c:pt idx="22">
                  <c:v>22.16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B-428C-B45F-12DBE8839412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Stretch Revenue (₹ Cr)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Sheet7!$A$4:$A$27</c:f>
              <c:strCache>
                <c:ptCount val="23"/>
                <c:pt idx="0">
                  <c:v>Bengaluru – Riyadh</c:v>
                </c:pt>
                <c:pt idx="1">
                  <c:v>Bhubaneswar – Abu Dhabi</c:v>
                </c:pt>
                <c:pt idx="2">
                  <c:v>Delhi – Almaty</c:v>
                </c:pt>
                <c:pt idx="3">
                  <c:v>Delhi – Athens</c:v>
                </c:pt>
                <c:pt idx="4">
                  <c:v>Delhi – Guangzhou</c:v>
                </c:pt>
                <c:pt idx="5">
                  <c:v>Delhi – Hanoi</c:v>
                </c:pt>
                <c:pt idx="6">
                  <c:v>Delhi – Tashkent</c:v>
                </c:pt>
                <c:pt idx="7">
                  <c:v>Kolkata – Guangzhou</c:v>
                </c:pt>
                <c:pt idx="8">
                  <c:v>Kolkata – Siem Reap</c:v>
                </c:pt>
                <c:pt idx="9">
                  <c:v>Mumbai – Almaty</c:v>
                </c:pt>
                <c:pt idx="10">
                  <c:v>Mumbai – Amsterdam</c:v>
                </c:pt>
                <c:pt idx="11">
                  <c:v>Mumbai – Athens</c:v>
                </c:pt>
                <c:pt idx="12">
                  <c:v>Mumbai – Copenhagen</c:v>
                </c:pt>
                <c:pt idx="13">
                  <c:v>Mumbai – Denpasar (Bali)</c:v>
                </c:pt>
                <c:pt idx="14">
                  <c:v>Mumbai – London (Heathrow)</c:v>
                </c:pt>
                <c:pt idx="15">
                  <c:v>Mumbai – Madinah</c:v>
                </c:pt>
                <c:pt idx="16">
                  <c:v>Mumbai – Seychelles</c:v>
                </c:pt>
                <c:pt idx="17">
                  <c:v>Mumbai – Tashkent</c:v>
                </c:pt>
                <c:pt idx="18">
                  <c:v>Mumbai – Tbilisi</c:v>
                </c:pt>
                <c:pt idx="19">
                  <c:v>Pune – Bangkok</c:v>
                </c:pt>
                <c:pt idx="20">
                  <c:v>Pune – Dubai</c:v>
                </c:pt>
                <c:pt idx="21">
                  <c:v>Thiruvananthapuram – Malé</c:v>
                </c:pt>
                <c:pt idx="22">
                  <c:v>Vijayawada – Singapore</c:v>
                </c:pt>
              </c:strCache>
            </c:strRef>
          </c:cat>
          <c:val>
            <c:numRef>
              <c:f>Sheet7!$C$4:$C$27</c:f>
              <c:numCache>
                <c:formatCode>General</c:formatCode>
                <c:ptCount val="23"/>
                <c:pt idx="0">
                  <c:v>10.35</c:v>
                </c:pt>
                <c:pt idx="1">
                  <c:v>3.65</c:v>
                </c:pt>
                <c:pt idx="2">
                  <c:v>3.93</c:v>
                </c:pt>
                <c:pt idx="3">
                  <c:v>26.52</c:v>
                </c:pt>
                <c:pt idx="4">
                  <c:v>12.41</c:v>
                </c:pt>
                <c:pt idx="5">
                  <c:v>9.86</c:v>
                </c:pt>
                <c:pt idx="6">
                  <c:v>3.73</c:v>
                </c:pt>
                <c:pt idx="7">
                  <c:v>11.68</c:v>
                </c:pt>
                <c:pt idx="8">
                  <c:v>2.5</c:v>
                </c:pt>
                <c:pt idx="9">
                  <c:v>3.65</c:v>
                </c:pt>
                <c:pt idx="10">
                  <c:v>56.16</c:v>
                </c:pt>
                <c:pt idx="11">
                  <c:v>25.19</c:v>
                </c:pt>
                <c:pt idx="12">
                  <c:v>56.16</c:v>
                </c:pt>
                <c:pt idx="13">
                  <c:v>10.220000000000001</c:v>
                </c:pt>
                <c:pt idx="14">
                  <c:v>192.72</c:v>
                </c:pt>
                <c:pt idx="15">
                  <c:v>9.1300000000000008</c:v>
                </c:pt>
                <c:pt idx="16">
                  <c:v>5.62</c:v>
                </c:pt>
                <c:pt idx="17">
                  <c:v>3.48</c:v>
                </c:pt>
                <c:pt idx="18">
                  <c:v>5.62</c:v>
                </c:pt>
                <c:pt idx="19">
                  <c:v>3.93</c:v>
                </c:pt>
                <c:pt idx="20">
                  <c:v>10.95</c:v>
                </c:pt>
                <c:pt idx="21">
                  <c:v>4.67</c:v>
                </c:pt>
                <c:pt idx="22">
                  <c:v>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EB-428C-B45F-12DBE8839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07423"/>
        <c:axId val="447807903"/>
      </c:lineChart>
      <c:catAx>
        <c:axId val="44780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07903"/>
        <c:crosses val="autoZero"/>
        <c:auto val="1"/>
        <c:lblAlgn val="ctr"/>
        <c:lblOffset val="100"/>
        <c:noMultiLvlLbl val="0"/>
      </c:catAx>
      <c:valAx>
        <c:axId val="44780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0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[IndiGo_Route_Financials.xlsx]Sheet8!PivotTable4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Sheet8!$A$4:$A$8</c:f>
              <c:strCache>
                <c:ptCount val="4"/>
                <c:pt idx="0">
                  <c:v>787-9 (Leased)</c:v>
                </c:pt>
                <c:pt idx="1">
                  <c:v>A320 (12J/168Y)</c:v>
                </c:pt>
                <c:pt idx="2">
                  <c:v>A320neo (12J/168Y)</c:v>
                </c:pt>
                <c:pt idx="3">
                  <c:v>A321XLR (20J/190Y)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1211.9099999999999</c:v>
                </c:pt>
                <c:pt idx="1">
                  <c:v>1651.3100000000002</c:v>
                </c:pt>
                <c:pt idx="2">
                  <c:v>185.57</c:v>
                </c:pt>
                <c:pt idx="3">
                  <c:v>255.15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6-40A4-98F8-1CED0F5D7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684831"/>
        <c:axId val="398691071"/>
      </c:barChart>
      <c:catAx>
        <c:axId val="39868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91071"/>
        <c:crosses val="autoZero"/>
        <c:auto val="1"/>
        <c:lblAlgn val="ctr"/>
        <c:lblOffset val="100"/>
        <c:noMultiLvlLbl val="0"/>
      </c:catAx>
      <c:valAx>
        <c:axId val="39869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8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Sheet10!$B$1</c:f>
              <c:strCache>
                <c:ptCount val="1"/>
                <c:pt idx="0">
                  <c:v>Profit/LOSS (₹ Cr)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Sheet10!$B$2:$B$6</c:f>
              <c:numCache>
                <c:formatCode>General</c:formatCode>
                <c:ptCount val="5"/>
                <c:pt idx="0">
                  <c:v>-47.195625</c:v>
                </c:pt>
                <c:pt idx="1">
                  <c:v>-35.013333333333328</c:v>
                </c:pt>
                <c:pt idx="2">
                  <c:v>-32.43</c:v>
                </c:pt>
                <c:pt idx="3">
                  <c:v>23.23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7-4B6E-BFBA-AB22329C1CB0}"/>
            </c:ext>
          </c:extLst>
        </c:ser>
        <c:ser>
          <c:idx val="1"/>
          <c:order val="1"/>
          <c:tx>
            <c:strRef>
              <c:f>Sheet10!$C$1</c:f>
              <c:strCache>
                <c:ptCount val="1"/>
                <c:pt idx="0">
                  <c:v>Forecast(Profit/LOSS (₹ Cr))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Sheet10!$A$2:$A$6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Sheet10!$C$2:$C$6</c:f>
              <c:numCache>
                <c:formatCode>General</c:formatCode>
                <c:ptCount val="5"/>
                <c:pt idx="3">
                  <c:v>23.23</c:v>
                </c:pt>
                <c:pt idx="4">
                  <c:v>36.045973589223138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27-4B6E-BFBA-AB22329C1CB0}"/>
            </c:ext>
          </c:extLst>
        </c:ser>
        <c:ser>
          <c:idx val="2"/>
          <c:order val="2"/>
          <c:tx>
            <c:strRef>
              <c:f>Sheet10!$D$1</c:f>
              <c:strCache>
                <c:ptCount val="1"/>
                <c:pt idx="0">
                  <c:v>Lower Confidence Bound(Profit/LOSS (₹ Cr))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Sheet10!$A$2:$A$6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Sheet10!$D$2:$D$6</c:f>
              <c:numCache>
                <c:formatCode>General</c:formatCode>
                <c:ptCount val="5"/>
                <c:pt idx="3" formatCode="0.00">
                  <c:v>23.23</c:v>
                </c:pt>
                <c:pt idx="4" formatCode="0.00">
                  <c:v>4.7575832500155215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27-4B6E-BFBA-AB22329C1CB0}"/>
            </c:ext>
          </c:extLst>
        </c:ser>
        <c:ser>
          <c:idx val="3"/>
          <c:order val="3"/>
          <c:tx>
            <c:strRef>
              <c:f>Sheet10!$E$1</c:f>
              <c:strCache>
                <c:ptCount val="1"/>
                <c:pt idx="0">
                  <c:v>Upper Confidence Bound(Profit/LOSS (₹ Cr))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Sheet10!$A$2:$A$6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Sheet10!$E$2:$E$6</c:f>
              <c:numCache>
                <c:formatCode>General</c:formatCode>
                <c:ptCount val="5"/>
                <c:pt idx="3" formatCode="0.00">
                  <c:v>23.23</c:v>
                </c:pt>
                <c:pt idx="4" formatCode="0.00">
                  <c:v>67.334363928430747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27-4B6E-BFBA-AB22329C1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823055"/>
        <c:axId val="1910823535"/>
      </c:lineChart>
      <c:catAx>
        <c:axId val="191082305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23535"/>
        <c:crosses val="autoZero"/>
        <c:auto val="1"/>
        <c:lblAlgn val="ctr"/>
        <c:lblOffset val="100"/>
        <c:noMultiLvlLbl val="0"/>
      </c:catAx>
      <c:valAx>
        <c:axId val="191082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2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61116</xdr:rowOff>
    </xdr:from>
    <xdr:to>
      <xdr:col>2</xdr:col>
      <xdr:colOff>975360</xdr:colOff>
      <xdr:row>43</xdr:row>
      <xdr:rowOff>61116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880EC-2FCF-50AB-340C-071C387DF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484748</xdr:colOff>
      <xdr:row>7</xdr:row>
      <xdr:rowOff>123722</xdr:rowOff>
    </xdr:from>
    <xdr:to>
      <xdr:col>6</xdr:col>
      <xdr:colOff>280118</xdr:colOff>
      <xdr:row>22</xdr:row>
      <xdr:rowOff>112922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120B42-673E-0EB0-C240-C9B4346F3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171450</xdr:rowOff>
    </xdr:from>
    <xdr:to>
      <xdr:col>3</xdr:col>
      <xdr:colOff>541020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04A74B-E84D-404B-2172-F6C76BF00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28</xdr:row>
      <xdr:rowOff>3810</xdr:rowOff>
    </xdr:from>
    <xdr:to>
      <xdr:col>2</xdr:col>
      <xdr:colOff>1005840</xdr:colOff>
      <xdr:row>43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EC5C6-55DF-1B6A-6DD4-2AD0AA0EA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784860</xdr:colOff>
      <xdr:row>11</xdr:row>
      <xdr:rowOff>41910</xdr:rowOff>
    </xdr:from>
    <xdr:to>
      <xdr:col>4</xdr:col>
      <xdr:colOff>350520</xdr:colOff>
      <xdr:row>26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6AA320-05E2-29AB-D82E-4DB03F606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6</xdr:row>
      <xdr:rowOff>41910</xdr:rowOff>
    </xdr:from>
    <xdr:to>
      <xdr:col>10</xdr:col>
      <xdr:colOff>291465</xdr:colOff>
      <xdr:row>26</xdr:row>
      <xdr:rowOff>51435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0EF76F-EE8D-DA36-7CA4-6C8F57D4F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arw" refreshedDate="45976.973702199073" createdVersion="8" refreshedVersion="8" minRefreshableVersion="3" recordCount="23" xr:uid="{BC3886FF-D051-4D9E-A5DE-9F0A0A10F3C9}">
  <cacheSource type="worksheet">
    <worksheetSource ref="A1:I24" sheet="Sheet1"/>
  </cacheSource>
  <cacheFields count="9">
    <cacheField name="Route" numFmtId="0">
      <sharedItems count="23">
        <s v="Mumbai – Tbilisi"/>
        <s v="Mumbai – Copenhagen"/>
        <s v="Mumbai – Denpasar (Bali)"/>
        <s v="Kolkata – Guangzhou"/>
        <s v="Mumbai – London (Heathrow)"/>
        <s v="Thiruvananthapuram – Malé"/>
        <s v="Pune – Bangkok"/>
        <s v="Pune – Dubai"/>
        <s v="Delhi – Guangzhou"/>
        <s v="Kolkata – Siem Reap"/>
        <s v="Mumbai – Madinah"/>
        <s v="Vijayawada – Singapore"/>
        <s v="Bengaluru – Riyadh"/>
        <s v="Delhi – Hanoi"/>
        <s v="Mumbai – Athens"/>
        <s v="Delhi – Athens"/>
        <s v="Bhubaneswar – Abu Dhabi"/>
        <s v="Delhi – Almaty"/>
        <s v="Mumbai – Almaty"/>
        <s v="Delhi – Tashkent"/>
        <s v="Mumbai – Tashkent"/>
        <s v="Mumbai – Amsterdam"/>
        <s v="Mumbai – Seychelles"/>
      </sharedItems>
    </cacheField>
    <cacheField name="Aircraft" numFmtId="0">
      <sharedItems count="4">
        <s v="A320 (12J/168Y)"/>
        <s v="787-9 (Leased)"/>
        <s v="A320neo (12J/168Y)"/>
        <s v="A321XLR (20J/190Y)"/>
      </sharedItems>
    </cacheField>
    <cacheField name="Flights/Year" numFmtId="0">
      <sharedItems containsSemiMixedTypes="0" containsString="0" containsNumber="1" containsInteger="1" minValue="156" maxValue="365" count="3">
        <n v="156"/>
        <n v="365"/>
        <n v="208"/>
      </sharedItems>
    </cacheField>
    <cacheField name="Annual Revenue (₹ Cr)" numFmtId="0">
      <sharedItems containsSemiMixedTypes="0" containsString="0" containsNumber="1" minValue="23.96" maxValue="697.59" count="23">
        <n v="41.02"/>
        <n v="222.08"/>
        <n v="89.96"/>
        <n v="96.75"/>
        <n v="697.59"/>
        <n v="57"/>
        <n v="35.130000000000003"/>
        <n v="77.97"/>
        <n v="106.82"/>
        <n v="23.96"/>
        <n v="68.42"/>
        <n v="29.44"/>
        <n v="74.319999999999993"/>
        <n v="88.8"/>
        <n v="143.63"/>
        <n v="157.97999999999999"/>
        <n v="28.93"/>
        <n v="36.61"/>
        <n v="33.21"/>
        <n v="34.880000000000003"/>
        <n v="32.44"/>
        <n v="187.2"/>
        <n v="61.22"/>
      </sharedItems>
    </cacheField>
    <cacheField name="Economy Revenue (₹ Cr)" numFmtId="0">
      <sharedItems containsSemiMixedTypes="0" containsString="0" containsNumber="1" minValue="18.09" maxValue="454.56"/>
    </cacheField>
    <cacheField name="Stretch Revenue (₹ Cr)" numFmtId="0">
      <sharedItems containsSemiMixedTypes="0" containsString="0" containsNumber="1" minValue="2.5" maxValue="192.72"/>
    </cacheField>
    <cacheField name="Annual Cost (₹ Cr)" numFmtId="0">
      <sharedItems containsSemiMixedTypes="0" containsString="0" containsNumber="1" minValue="49.06" maxValue="674.88"/>
    </cacheField>
    <cacheField name="Profit/LOSS (₹ Cr)" numFmtId="0">
      <sharedItems containsSemiMixedTypes="0" containsString="0" containsNumber="1" minValue="-100.78" maxValue="28.7"/>
    </cacheField>
    <cacheField name="Marg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x v="0"/>
    <x v="0"/>
    <n v="31.36"/>
    <n v="5.62"/>
    <n v="79.489999999999995"/>
    <n v="-38.47"/>
    <s v="-93.8%"/>
  </r>
  <r>
    <x v="1"/>
    <x v="1"/>
    <x v="0"/>
    <x v="1"/>
    <n v="142.08000000000001"/>
    <n v="56.16"/>
    <n v="265.67"/>
    <n v="-43.59"/>
    <s v="-19.6%"/>
  </r>
  <r>
    <x v="2"/>
    <x v="0"/>
    <x v="1"/>
    <x v="2"/>
    <n v="66"/>
    <n v="10.220000000000001"/>
    <n v="190.74"/>
    <n v="-100.78"/>
    <s v="-112.0%"/>
  </r>
  <r>
    <x v="3"/>
    <x v="2"/>
    <x v="1"/>
    <x v="3"/>
    <n v="73.06"/>
    <n v="11.68"/>
    <n v="136.51"/>
    <n v="-39.76"/>
    <s v="-41.1%"/>
  </r>
  <r>
    <x v="4"/>
    <x v="1"/>
    <x v="1"/>
    <x v="4"/>
    <n v="454.56"/>
    <n v="192.72"/>
    <n v="674.88"/>
    <n v="22.71"/>
    <s v="3.3%"/>
  </r>
  <r>
    <x v="5"/>
    <x v="0"/>
    <x v="1"/>
    <x v="5"/>
    <n v="44.03"/>
    <n v="4.67"/>
    <n v="79.489999999999995"/>
    <n v="-22.49"/>
    <s v="-39.4%"/>
  </r>
  <r>
    <x v="6"/>
    <x v="0"/>
    <x v="0"/>
    <x v="6"/>
    <n v="26.58"/>
    <n v="3.93"/>
    <n v="63.57"/>
    <n v="-28.44"/>
    <s v="-81.0%"/>
  </r>
  <r>
    <x v="7"/>
    <x v="0"/>
    <x v="1"/>
    <x v="7"/>
    <n v="55.12"/>
    <n v="10.95"/>
    <n v="131.29"/>
    <n v="-53.32"/>
    <s v="-68.4%"/>
  </r>
  <r>
    <x v="8"/>
    <x v="0"/>
    <x v="1"/>
    <x v="8"/>
    <n v="80.930000000000007"/>
    <n v="12.41"/>
    <n v="167.11"/>
    <n v="-60.29"/>
    <s v="-56.4%"/>
  </r>
  <r>
    <x v="9"/>
    <x v="2"/>
    <x v="0"/>
    <x v="9"/>
    <n v="18.09"/>
    <n v="2.5"/>
    <n v="49.06"/>
    <n v="-25.1"/>
    <s v="-104.8%"/>
  </r>
  <r>
    <x v="10"/>
    <x v="0"/>
    <x v="1"/>
    <x v="10"/>
    <n v="49.6"/>
    <n v="9.1300000000000008"/>
    <n v="152.53"/>
    <n v="-84.11"/>
    <s v="-123.0%"/>
  </r>
  <r>
    <x v="11"/>
    <x v="0"/>
    <x v="0"/>
    <x v="11"/>
    <n v="22.16"/>
    <n v="4.03"/>
    <n v="56.34"/>
    <n v="-26.9"/>
    <s v="-91.5%"/>
  </r>
  <r>
    <x v="12"/>
    <x v="0"/>
    <x v="1"/>
    <x v="12"/>
    <n v="55.64"/>
    <n v="10.35"/>
    <n v="135.01"/>
    <n v="-60.69"/>
    <s v="-81.6%"/>
  </r>
  <r>
    <x v="13"/>
    <x v="0"/>
    <x v="1"/>
    <x v="13"/>
    <n v="67.38"/>
    <n v="9.86"/>
    <n v="172.67"/>
    <n v="-83.87"/>
    <s v="-94.5%"/>
  </r>
  <r>
    <x v="14"/>
    <x v="3"/>
    <x v="0"/>
    <x v="14"/>
    <n v="104.21"/>
    <n v="25.19"/>
    <n v="125.87"/>
    <n v="17.760000000000002"/>
    <s v="12.4%"/>
  </r>
  <r>
    <x v="15"/>
    <x v="3"/>
    <x v="0"/>
    <x v="15"/>
    <n v="117.23"/>
    <n v="26.52"/>
    <n v="129.28"/>
    <n v="28.7"/>
    <s v="18.2%"/>
  </r>
  <r>
    <x v="16"/>
    <x v="0"/>
    <x v="0"/>
    <x v="16"/>
    <n v="20.64"/>
    <n v="3.65"/>
    <n v="57.3"/>
    <n v="-28.37"/>
    <s v="-98.0%"/>
  </r>
  <r>
    <x v="17"/>
    <x v="0"/>
    <x v="0"/>
    <x v="17"/>
    <n v="27.69"/>
    <n v="3.93"/>
    <n v="65.94"/>
    <n v="-29.33"/>
    <s v="-80.1%"/>
  </r>
  <r>
    <x v="18"/>
    <x v="0"/>
    <x v="0"/>
    <x v="18"/>
    <n v="24.94"/>
    <n v="3.65"/>
    <n v="70.680000000000007"/>
    <n v="-37.46"/>
    <s v="-112.8%"/>
  </r>
  <r>
    <x v="19"/>
    <x v="0"/>
    <x v="0"/>
    <x v="19"/>
    <n v="26.33"/>
    <n v="3.73"/>
    <n v="62.85"/>
    <n v="-27.97"/>
    <s v="-80.2%"/>
  </r>
  <r>
    <x v="20"/>
    <x v="0"/>
    <x v="0"/>
    <x v="20"/>
    <n v="24.36"/>
    <n v="3.48"/>
    <n v="68.94"/>
    <n v="-36.5"/>
    <s v="-112.5%"/>
  </r>
  <r>
    <x v="21"/>
    <x v="1"/>
    <x v="0"/>
    <x v="21"/>
    <n v="131.04"/>
    <n v="56.16"/>
    <n v="271.36"/>
    <n v="-84.16"/>
    <s v="-45.0%"/>
  </r>
  <r>
    <x v="22"/>
    <x v="0"/>
    <x v="2"/>
    <x v="22"/>
    <n v="48.92"/>
    <n v="5.62"/>
    <n v="97.36"/>
    <n v="-36.14"/>
    <s v="-59.1%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D2B02-E764-42FB-BD76-2EC3C7B5C4E2}" name="PivotTable1" cacheId="6" applyNumberFormats="0" applyBorderFormats="0" applyFontFormats="0" applyPatternFormats="0" applyAlignmentFormats="0" applyWidthHeightFormats="1" dataCaption="Values" grandTotalCaption="SUM" updatedVersion="8" minRefreshableVersion="3" useAutoFormatting="1" itemPrintTitles="1" createdVersion="8" indent="0" outline="1" outlineData="1" multipleFieldFilters="0" chartFormat="23">
  <location ref="A3:C27" firstHeaderRow="0" firstDataRow="1" firstDataCol="1"/>
  <pivotFields count="9">
    <pivotField axis="axisRow" showAll="0">
      <items count="24">
        <item x="12"/>
        <item x="16"/>
        <item x="17"/>
        <item x="15"/>
        <item x="8"/>
        <item x="13"/>
        <item x="19"/>
        <item x="3"/>
        <item x="9"/>
        <item x="18"/>
        <item x="21"/>
        <item x="14"/>
        <item x="1"/>
        <item x="2"/>
        <item x="4"/>
        <item x="10"/>
        <item x="22"/>
        <item x="20"/>
        <item x="0"/>
        <item x="6"/>
        <item x="7"/>
        <item x="5"/>
        <item x="1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dataField="1" showAll="0">
      <items count="24">
        <item x="9"/>
        <item x="16"/>
        <item x="11"/>
        <item x="20"/>
        <item x="18"/>
        <item x="19"/>
        <item x="6"/>
        <item x="17"/>
        <item x="0"/>
        <item x="5"/>
        <item x="22"/>
        <item x="10"/>
        <item x="12"/>
        <item x="7"/>
        <item x="13"/>
        <item x="2"/>
        <item x="3"/>
        <item x="8"/>
        <item x="14"/>
        <item x="15"/>
        <item x="21"/>
        <item x="1"/>
        <item x="4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nnual Revenue (₹ Cr)" fld="3" baseField="0" baseItem="0"/>
    <dataField name="Sum of Annual Cost (₹ Cr)" fld="6" baseField="0" baseItem="0"/>
  </dataFields>
  <chartFormats count="4"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7E883-7C46-4223-B217-13F331BE434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9">
    <pivotField showAll="0">
      <items count="24">
        <item x="12"/>
        <item x="16"/>
        <item x="17"/>
        <item x="15"/>
        <item x="8"/>
        <item x="13"/>
        <item x="19"/>
        <item x="3"/>
        <item x="9"/>
        <item x="18"/>
        <item x="21"/>
        <item x="14"/>
        <item x="1"/>
        <item x="2"/>
        <item x="4"/>
        <item x="10"/>
        <item x="22"/>
        <item x="20"/>
        <item x="0"/>
        <item x="6"/>
        <item x="7"/>
        <item x="5"/>
        <item x="1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nnual Revenue (₹ Cr)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E3123-A192-4C25-B9FF-28B4D5C6378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61CA4-5FBB-4A7D-AD3D-77B109AE7216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27" firstHeaderRow="0" firstDataRow="1" firstDataCol="1"/>
  <pivotFields count="9">
    <pivotField axis="axisRow" showAll="0">
      <items count="24">
        <item x="12"/>
        <item x="16"/>
        <item x="17"/>
        <item x="15"/>
        <item x="8"/>
        <item x="13"/>
        <item x="19"/>
        <item x="3"/>
        <item x="9"/>
        <item x="18"/>
        <item x="21"/>
        <item x="14"/>
        <item x="1"/>
        <item x="2"/>
        <item x="4"/>
        <item x="10"/>
        <item x="22"/>
        <item x="20"/>
        <item x="0"/>
        <item x="6"/>
        <item x="7"/>
        <item x="5"/>
        <item x="1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conomy Revenue (₹ Cr)" fld="4" baseField="0" baseItem="0"/>
    <dataField name="Sum of Stretch Revenue (₹ Cr)" fld="5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E6B33-8564-48E5-8757-20C4DC466178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9">
    <pivotField showAll="0">
      <items count="24">
        <item x="12"/>
        <item x="16"/>
        <item x="17"/>
        <item x="15"/>
        <item x="8"/>
        <item x="13"/>
        <item x="19"/>
        <item x="3"/>
        <item x="9"/>
        <item x="18"/>
        <item x="21"/>
        <item x="14"/>
        <item x="1"/>
        <item x="2"/>
        <item x="4"/>
        <item x="10"/>
        <item x="22"/>
        <item x="20"/>
        <item x="0"/>
        <item x="6"/>
        <item x="7"/>
        <item x="5"/>
        <item x="1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nnual Cost (₹ Cr)" fld="6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9AEFE6-88AF-4233-B013-AF336216DE4A}" name="Table7" displayName="Table7" ref="A1:E6" totalsRowShown="0">
  <autoFilter ref="A1:E6" xr:uid="{149AEFE6-88AF-4233-B013-AF336216DE4A}"/>
  <tableColumns count="5">
    <tableColumn id="1" xr3:uid="{08AADFCD-F3ED-4390-94AE-F449843C2C7F}" name="Aircraft"/>
    <tableColumn id="2" xr3:uid="{25155B6F-2473-40F1-AC01-7CF0C35D8A56}" name="Profit/LOSS (₹ Cr)"/>
    <tableColumn id="3" xr3:uid="{BE700D4F-E909-47FF-B474-8421EBEB895D}" name="Forecast(Profit/LOSS (₹ Cr))"/>
    <tableColumn id="4" xr3:uid="{7A15B1C6-1CC5-4E52-91A6-479387B0A66A}" name="Lower Confidence Bound(Profit/LOSS (₹ Cr))"/>
    <tableColumn id="5" xr3:uid="{F4B43B0E-A539-4B2D-B4AE-F2899DFC386D}" name="Upper Confidence Bound(Profit/LOSS (₹ Cr)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1EBA6B-64A6-4BDB-BD29-74E93DF86225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2DB755A3-1158-480B-8482-0AFCF62F8358}"/>
    <we:binding id="Input" type="matrix" appref="{B9CFDE35-8863-4674-A47A-D8559C2360AB}"/>
    <we:binding id="Output" type="matrix" appref="{EC3B9AA3-BBBA-44C8-958C-82AE8378CB1B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D3C2-6A70-4978-BA44-5AC59389F14A}">
  <dimension ref="A3:C50"/>
  <sheetViews>
    <sheetView topLeftCell="A2" zoomScale="64" workbookViewId="0">
      <selection activeCell="J18" sqref="J18"/>
    </sheetView>
  </sheetViews>
  <sheetFormatPr defaultRowHeight="14.4" x14ac:dyDescent="0.3"/>
  <cols>
    <col min="1" max="1" width="26" bestFit="1" customWidth="1"/>
    <col min="2" max="2" width="26.6640625" bestFit="1" customWidth="1"/>
    <col min="3" max="3" width="22.88671875" bestFit="1" customWidth="1"/>
    <col min="4" max="6" width="23.21875" bestFit="1" customWidth="1"/>
  </cols>
  <sheetData>
    <row r="3" spans="1:3" x14ac:dyDescent="0.3">
      <c r="A3" s="2" t="s">
        <v>60</v>
      </c>
      <c r="B3" t="s">
        <v>58</v>
      </c>
      <c r="C3" t="s">
        <v>115</v>
      </c>
    </row>
    <row r="4" spans="1:3" x14ac:dyDescent="0.3">
      <c r="A4" s="3" t="s">
        <v>20</v>
      </c>
      <c r="B4" s="5">
        <v>74.319999999999993</v>
      </c>
      <c r="C4" s="5">
        <v>135.01</v>
      </c>
    </row>
    <row r="5" spans="1:3" x14ac:dyDescent="0.3">
      <c r="A5" s="3" t="s">
        <v>24</v>
      </c>
      <c r="B5" s="5">
        <v>28.93</v>
      </c>
      <c r="C5" s="5">
        <v>57.3</v>
      </c>
    </row>
    <row r="6" spans="1:3" x14ac:dyDescent="0.3">
      <c r="A6" s="3" t="s">
        <v>25</v>
      </c>
      <c r="B6" s="5">
        <v>36.61</v>
      </c>
      <c r="C6" s="5">
        <v>65.94</v>
      </c>
    </row>
    <row r="7" spans="1:3" x14ac:dyDescent="0.3">
      <c r="A7" s="3" t="s">
        <v>23</v>
      </c>
      <c r="B7" s="5">
        <v>157.97999999999999</v>
      </c>
      <c r="C7" s="5">
        <v>129.28</v>
      </c>
    </row>
    <row r="8" spans="1:3" x14ac:dyDescent="0.3">
      <c r="A8" s="3" t="s">
        <v>16</v>
      </c>
      <c r="B8" s="5">
        <v>106.82</v>
      </c>
      <c r="C8" s="5">
        <v>167.11</v>
      </c>
    </row>
    <row r="9" spans="1:3" x14ac:dyDescent="0.3">
      <c r="A9" s="3" t="s">
        <v>21</v>
      </c>
      <c r="B9" s="5">
        <v>88.8</v>
      </c>
      <c r="C9" s="5">
        <v>172.67</v>
      </c>
    </row>
    <row r="10" spans="1:3" x14ac:dyDescent="0.3">
      <c r="A10" s="3" t="s">
        <v>27</v>
      </c>
      <c r="B10" s="5">
        <v>34.880000000000003</v>
      </c>
      <c r="C10" s="5">
        <v>62.85</v>
      </c>
    </row>
    <row r="11" spans="1:3" x14ac:dyDescent="0.3">
      <c r="A11" s="3" t="s">
        <v>11</v>
      </c>
      <c r="B11" s="5">
        <v>96.75</v>
      </c>
      <c r="C11" s="5">
        <v>136.51</v>
      </c>
    </row>
    <row r="12" spans="1:3" x14ac:dyDescent="0.3">
      <c r="A12" s="3" t="s">
        <v>17</v>
      </c>
      <c r="B12" s="5">
        <v>23.96</v>
      </c>
      <c r="C12" s="5">
        <v>49.06</v>
      </c>
    </row>
    <row r="13" spans="1:3" x14ac:dyDescent="0.3">
      <c r="A13" s="3" t="s">
        <v>26</v>
      </c>
      <c r="B13" s="5">
        <v>33.21</v>
      </c>
      <c r="C13" s="5">
        <v>70.680000000000007</v>
      </c>
    </row>
    <row r="14" spans="1:3" x14ac:dyDescent="0.3">
      <c r="A14" s="3" t="s">
        <v>29</v>
      </c>
      <c r="B14" s="5">
        <v>187.2</v>
      </c>
      <c r="C14" s="5">
        <v>271.36</v>
      </c>
    </row>
    <row r="15" spans="1:3" x14ac:dyDescent="0.3">
      <c r="A15" s="3" t="s">
        <v>22</v>
      </c>
      <c r="B15" s="5">
        <v>143.63</v>
      </c>
      <c r="C15" s="5">
        <v>125.87</v>
      </c>
    </row>
    <row r="16" spans="1:3" x14ac:dyDescent="0.3">
      <c r="A16" s="3" t="s">
        <v>9</v>
      </c>
      <c r="B16" s="5">
        <v>222.08</v>
      </c>
      <c r="C16" s="5">
        <v>265.67</v>
      </c>
    </row>
    <row r="17" spans="1:3" x14ac:dyDescent="0.3">
      <c r="A17" s="3" t="s">
        <v>10</v>
      </c>
      <c r="B17" s="5">
        <v>89.96</v>
      </c>
      <c r="C17" s="5">
        <v>190.74</v>
      </c>
    </row>
    <row r="18" spans="1:3" x14ac:dyDescent="0.3">
      <c r="A18" s="3" t="s">
        <v>12</v>
      </c>
      <c r="B18" s="5">
        <v>697.59</v>
      </c>
      <c r="C18" s="5">
        <v>674.88</v>
      </c>
    </row>
    <row r="19" spans="1:3" x14ac:dyDescent="0.3">
      <c r="A19" s="3" t="s">
        <v>18</v>
      </c>
      <c r="B19" s="5">
        <v>68.42</v>
      </c>
      <c r="C19" s="5">
        <v>152.53</v>
      </c>
    </row>
    <row r="20" spans="1:3" x14ac:dyDescent="0.3">
      <c r="A20" s="3" t="s">
        <v>30</v>
      </c>
      <c r="B20" s="5">
        <v>61.22</v>
      </c>
      <c r="C20" s="5">
        <v>97.36</v>
      </c>
    </row>
    <row r="21" spans="1:3" x14ac:dyDescent="0.3">
      <c r="A21" s="3" t="s">
        <v>28</v>
      </c>
      <c r="B21" s="5">
        <v>32.44</v>
      </c>
      <c r="C21" s="5">
        <v>68.94</v>
      </c>
    </row>
    <row r="22" spans="1:3" x14ac:dyDescent="0.3">
      <c r="A22" s="3" t="s">
        <v>8</v>
      </c>
      <c r="B22" s="5">
        <v>41.02</v>
      </c>
      <c r="C22" s="5">
        <v>79.489999999999995</v>
      </c>
    </row>
    <row r="23" spans="1:3" x14ac:dyDescent="0.3">
      <c r="A23" s="3" t="s">
        <v>14</v>
      </c>
      <c r="B23" s="5">
        <v>35.130000000000003</v>
      </c>
      <c r="C23" s="5">
        <v>63.57</v>
      </c>
    </row>
    <row r="24" spans="1:3" x14ac:dyDescent="0.3">
      <c r="A24" s="3" t="s">
        <v>15</v>
      </c>
      <c r="B24" s="5">
        <v>77.97</v>
      </c>
      <c r="C24" s="5">
        <v>131.29</v>
      </c>
    </row>
    <row r="25" spans="1:3" x14ac:dyDescent="0.3">
      <c r="A25" s="3" t="s">
        <v>13</v>
      </c>
      <c r="B25" s="5">
        <v>57</v>
      </c>
      <c r="C25" s="5">
        <v>79.489999999999995</v>
      </c>
    </row>
    <row r="26" spans="1:3" x14ac:dyDescent="0.3">
      <c r="A26" s="3" t="s">
        <v>19</v>
      </c>
      <c r="B26" s="5">
        <v>29.44</v>
      </c>
      <c r="C26" s="5">
        <v>56.34</v>
      </c>
    </row>
    <row r="27" spans="1:3" x14ac:dyDescent="0.3">
      <c r="A27" s="3" t="s">
        <v>118</v>
      </c>
      <c r="B27" s="5">
        <v>2425.36</v>
      </c>
      <c r="C27" s="5">
        <v>3303.94</v>
      </c>
    </row>
    <row r="50" spans="1:2" x14ac:dyDescent="0.3">
      <c r="A50" s="4"/>
      <c r="B50" s="4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82C9-87F4-48BA-86C1-7E22F0A2AC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39C0-A2AB-4AF3-ADFC-CA8FF01DE26B}">
  <dimension ref="A3:B8"/>
  <sheetViews>
    <sheetView zoomScale="97" workbookViewId="0">
      <selection activeCell="G14" sqref="G14"/>
    </sheetView>
  </sheetViews>
  <sheetFormatPr defaultRowHeight="14.4" x14ac:dyDescent="0.3"/>
  <cols>
    <col min="1" max="1" width="17.44140625" bestFit="1" customWidth="1"/>
    <col min="2" max="2" width="26.6640625" bestFit="1" customWidth="1"/>
    <col min="3" max="3" width="14.6640625" bestFit="1" customWidth="1"/>
    <col min="4" max="4" width="18" bestFit="1" customWidth="1"/>
    <col min="5" max="5" width="17.88671875" bestFit="1" customWidth="1"/>
    <col min="6" max="6" width="10.77734375" bestFit="1" customWidth="1"/>
  </cols>
  <sheetData>
    <row r="3" spans="1:2" x14ac:dyDescent="0.3">
      <c r="A3" s="2" t="s">
        <v>60</v>
      </c>
      <c r="B3" t="s">
        <v>58</v>
      </c>
    </row>
    <row r="4" spans="1:2" x14ac:dyDescent="0.3">
      <c r="A4" s="3" t="s">
        <v>32</v>
      </c>
      <c r="B4" s="5">
        <v>1106.8700000000001</v>
      </c>
    </row>
    <row r="5" spans="1:2" x14ac:dyDescent="0.3">
      <c r="A5" s="3" t="s">
        <v>31</v>
      </c>
      <c r="B5" s="5">
        <v>896.16999999999985</v>
      </c>
    </row>
    <row r="6" spans="1:2" x14ac:dyDescent="0.3">
      <c r="A6" s="3" t="s">
        <v>33</v>
      </c>
      <c r="B6" s="5">
        <v>120.71000000000001</v>
      </c>
    </row>
    <row r="7" spans="1:2" x14ac:dyDescent="0.3">
      <c r="A7" s="3" t="s">
        <v>34</v>
      </c>
      <c r="B7" s="5">
        <v>301.61</v>
      </c>
    </row>
    <row r="8" spans="1:2" x14ac:dyDescent="0.3">
      <c r="A8" s="3" t="s">
        <v>59</v>
      </c>
      <c r="B8" s="5">
        <v>2425.36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605E-5DBD-4E32-9720-350F74AD3697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6"/>
      <c r="B3" s="7"/>
      <c r="C3" s="8"/>
    </row>
    <row r="4" spans="1:3" x14ac:dyDescent="0.3">
      <c r="A4" s="9"/>
      <c r="B4" s="10"/>
      <c r="C4" s="11"/>
    </row>
    <row r="5" spans="1:3" x14ac:dyDescent="0.3">
      <c r="A5" s="9"/>
      <c r="B5" s="10"/>
      <c r="C5" s="11"/>
    </row>
    <row r="6" spans="1:3" x14ac:dyDescent="0.3">
      <c r="A6" s="9"/>
      <c r="B6" s="10"/>
      <c r="C6" s="11"/>
    </row>
    <row r="7" spans="1:3" x14ac:dyDescent="0.3">
      <c r="A7" s="9"/>
      <c r="B7" s="10"/>
      <c r="C7" s="11"/>
    </row>
    <row r="8" spans="1:3" x14ac:dyDescent="0.3">
      <c r="A8" s="9"/>
      <c r="B8" s="10"/>
      <c r="C8" s="11"/>
    </row>
    <row r="9" spans="1:3" x14ac:dyDescent="0.3">
      <c r="A9" s="9"/>
      <c r="B9" s="10"/>
      <c r="C9" s="11"/>
    </row>
    <row r="10" spans="1:3" x14ac:dyDescent="0.3">
      <c r="A10" s="9"/>
      <c r="B10" s="10"/>
      <c r="C10" s="11"/>
    </row>
    <row r="11" spans="1:3" x14ac:dyDescent="0.3">
      <c r="A11" s="9"/>
      <c r="B11" s="10"/>
      <c r="C11" s="11"/>
    </row>
    <row r="12" spans="1:3" x14ac:dyDescent="0.3">
      <c r="A12" s="9"/>
      <c r="B12" s="10"/>
      <c r="C12" s="11"/>
    </row>
    <row r="13" spans="1:3" x14ac:dyDescent="0.3">
      <c r="A13" s="9"/>
      <c r="B13" s="10"/>
      <c r="C13" s="11"/>
    </row>
    <row r="14" spans="1:3" x14ac:dyDescent="0.3">
      <c r="A14" s="9"/>
      <c r="B14" s="10"/>
      <c r="C14" s="11"/>
    </row>
    <row r="15" spans="1:3" x14ac:dyDescent="0.3">
      <c r="A15" s="9"/>
      <c r="B15" s="10"/>
      <c r="C15" s="11"/>
    </row>
    <row r="16" spans="1:3" x14ac:dyDescent="0.3">
      <c r="A16" s="9"/>
      <c r="B16" s="10"/>
      <c r="C16" s="11"/>
    </row>
    <row r="17" spans="1:3" x14ac:dyDescent="0.3">
      <c r="A17" s="9"/>
      <c r="B17" s="10"/>
      <c r="C17" s="11"/>
    </row>
    <row r="18" spans="1:3" x14ac:dyDescent="0.3">
      <c r="A18" s="9"/>
      <c r="B18" s="10"/>
      <c r="C18" s="11"/>
    </row>
    <row r="19" spans="1:3" x14ac:dyDescent="0.3">
      <c r="A19" s="9"/>
      <c r="B19" s="10"/>
      <c r="C19" s="11"/>
    </row>
    <row r="20" spans="1:3" x14ac:dyDescent="0.3">
      <c r="A20" s="12"/>
      <c r="B20" s="13"/>
      <c r="C2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0775-D9FB-4E1B-8F9F-E4109493C1C2}">
  <dimension ref="A3:C27"/>
  <sheetViews>
    <sheetView topLeftCell="A2" zoomScale="64" zoomScaleNormal="55" workbookViewId="0">
      <selection activeCell="B1" sqref="B1:C1"/>
    </sheetView>
  </sheetViews>
  <sheetFormatPr defaultRowHeight="14.4" x14ac:dyDescent="0.3"/>
  <cols>
    <col min="1" max="1" width="25.77734375" bestFit="1" customWidth="1"/>
    <col min="2" max="2" width="39.44140625" customWidth="1"/>
    <col min="3" max="3" width="26.6640625" bestFit="1" customWidth="1"/>
  </cols>
  <sheetData>
    <row r="3" spans="1:3" x14ac:dyDescent="0.3">
      <c r="A3" s="2" t="s">
        <v>60</v>
      </c>
      <c r="B3" t="s">
        <v>116</v>
      </c>
      <c r="C3" t="s">
        <v>117</v>
      </c>
    </row>
    <row r="4" spans="1:3" x14ac:dyDescent="0.3">
      <c r="A4" s="3" t="s">
        <v>20</v>
      </c>
      <c r="B4" s="5">
        <v>55.64</v>
      </c>
      <c r="C4" s="5">
        <v>10.35</v>
      </c>
    </row>
    <row r="5" spans="1:3" x14ac:dyDescent="0.3">
      <c r="A5" s="3" t="s">
        <v>24</v>
      </c>
      <c r="B5" s="5">
        <v>20.64</v>
      </c>
      <c r="C5" s="5">
        <v>3.65</v>
      </c>
    </row>
    <row r="6" spans="1:3" x14ac:dyDescent="0.3">
      <c r="A6" s="3" t="s">
        <v>25</v>
      </c>
      <c r="B6" s="5">
        <v>27.69</v>
      </c>
      <c r="C6" s="5">
        <v>3.93</v>
      </c>
    </row>
    <row r="7" spans="1:3" x14ac:dyDescent="0.3">
      <c r="A7" s="3" t="s">
        <v>23</v>
      </c>
      <c r="B7" s="5">
        <v>117.23</v>
      </c>
      <c r="C7" s="5">
        <v>26.52</v>
      </c>
    </row>
    <row r="8" spans="1:3" x14ac:dyDescent="0.3">
      <c r="A8" s="3" t="s">
        <v>16</v>
      </c>
      <c r="B8" s="5">
        <v>80.930000000000007</v>
      </c>
      <c r="C8" s="5">
        <v>12.41</v>
      </c>
    </row>
    <row r="9" spans="1:3" x14ac:dyDescent="0.3">
      <c r="A9" s="3" t="s">
        <v>21</v>
      </c>
      <c r="B9" s="5">
        <v>67.38</v>
      </c>
      <c r="C9" s="5">
        <v>9.86</v>
      </c>
    </row>
    <row r="10" spans="1:3" x14ac:dyDescent="0.3">
      <c r="A10" s="3" t="s">
        <v>27</v>
      </c>
      <c r="B10" s="5">
        <v>26.33</v>
      </c>
      <c r="C10" s="5">
        <v>3.73</v>
      </c>
    </row>
    <row r="11" spans="1:3" x14ac:dyDescent="0.3">
      <c r="A11" s="3" t="s">
        <v>11</v>
      </c>
      <c r="B11" s="5">
        <v>73.06</v>
      </c>
      <c r="C11" s="5">
        <v>11.68</v>
      </c>
    </row>
    <row r="12" spans="1:3" x14ac:dyDescent="0.3">
      <c r="A12" s="3" t="s">
        <v>17</v>
      </c>
      <c r="B12" s="5">
        <v>18.09</v>
      </c>
      <c r="C12" s="5">
        <v>2.5</v>
      </c>
    </row>
    <row r="13" spans="1:3" x14ac:dyDescent="0.3">
      <c r="A13" s="3" t="s">
        <v>26</v>
      </c>
      <c r="B13" s="5">
        <v>24.94</v>
      </c>
      <c r="C13" s="5">
        <v>3.65</v>
      </c>
    </row>
    <row r="14" spans="1:3" x14ac:dyDescent="0.3">
      <c r="A14" s="3" t="s">
        <v>29</v>
      </c>
      <c r="B14" s="5">
        <v>131.04</v>
      </c>
      <c r="C14" s="5">
        <v>56.16</v>
      </c>
    </row>
    <row r="15" spans="1:3" x14ac:dyDescent="0.3">
      <c r="A15" s="3" t="s">
        <v>22</v>
      </c>
      <c r="B15" s="5">
        <v>104.21</v>
      </c>
      <c r="C15" s="5">
        <v>25.19</v>
      </c>
    </row>
    <row r="16" spans="1:3" x14ac:dyDescent="0.3">
      <c r="A16" s="3" t="s">
        <v>9</v>
      </c>
      <c r="B16" s="5">
        <v>142.08000000000001</v>
      </c>
      <c r="C16" s="5">
        <v>56.16</v>
      </c>
    </row>
    <row r="17" spans="1:3" x14ac:dyDescent="0.3">
      <c r="A17" s="3" t="s">
        <v>10</v>
      </c>
      <c r="B17" s="5">
        <v>66</v>
      </c>
      <c r="C17" s="5">
        <v>10.220000000000001</v>
      </c>
    </row>
    <row r="18" spans="1:3" x14ac:dyDescent="0.3">
      <c r="A18" s="3" t="s">
        <v>12</v>
      </c>
      <c r="B18" s="5">
        <v>454.56</v>
      </c>
      <c r="C18" s="5">
        <v>192.72</v>
      </c>
    </row>
    <row r="19" spans="1:3" x14ac:dyDescent="0.3">
      <c r="A19" s="3" t="s">
        <v>18</v>
      </c>
      <c r="B19" s="5">
        <v>49.6</v>
      </c>
      <c r="C19" s="5">
        <v>9.1300000000000008</v>
      </c>
    </row>
    <row r="20" spans="1:3" x14ac:dyDescent="0.3">
      <c r="A20" s="3" t="s">
        <v>30</v>
      </c>
      <c r="B20" s="5">
        <v>48.92</v>
      </c>
      <c r="C20" s="5">
        <v>5.62</v>
      </c>
    </row>
    <row r="21" spans="1:3" x14ac:dyDescent="0.3">
      <c r="A21" s="3" t="s">
        <v>28</v>
      </c>
      <c r="B21" s="5">
        <v>24.36</v>
      </c>
      <c r="C21" s="5">
        <v>3.48</v>
      </c>
    </row>
    <row r="22" spans="1:3" x14ac:dyDescent="0.3">
      <c r="A22" s="3" t="s">
        <v>8</v>
      </c>
      <c r="B22" s="5">
        <v>31.36</v>
      </c>
      <c r="C22" s="5">
        <v>5.62</v>
      </c>
    </row>
    <row r="23" spans="1:3" x14ac:dyDescent="0.3">
      <c r="A23" s="3" t="s">
        <v>14</v>
      </c>
      <c r="B23" s="5">
        <v>26.58</v>
      </c>
      <c r="C23" s="5">
        <v>3.93</v>
      </c>
    </row>
    <row r="24" spans="1:3" x14ac:dyDescent="0.3">
      <c r="A24" s="3" t="s">
        <v>15</v>
      </c>
      <c r="B24" s="5">
        <v>55.12</v>
      </c>
      <c r="C24" s="5">
        <v>10.95</v>
      </c>
    </row>
    <row r="25" spans="1:3" x14ac:dyDescent="0.3">
      <c r="A25" s="3" t="s">
        <v>13</v>
      </c>
      <c r="B25" s="5">
        <v>44.03</v>
      </c>
      <c r="C25" s="5">
        <v>4.67</v>
      </c>
    </row>
    <row r="26" spans="1:3" x14ac:dyDescent="0.3">
      <c r="A26" s="3" t="s">
        <v>19</v>
      </c>
      <c r="B26" s="5">
        <v>22.16</v>
      </c>
      <c r="C26" s="5">
        <v>4.03</v>
      </c>
    </row>
    <row r="27" spans="1:3" x14ac:dyDescent="0.3">
      <c r="A27" s="3" t="s">
        <v>59</v>
      </c>
      <c r="B27" s="5">
        <v>1711.9499999999996</v>
      </c>
      <c r="C27" s="5">
        <v>476.16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FDB8-2B5E-494D-B113-81F8CA188F42}">
  <dimension ref="A3:B8"/>
  <sheetViews>
    <sheetView topLeftCell="A2" zoomScale="86" workbookViewId="0">
      <selection activeCell="F21" sqref="F21"/>
    </sheetView>
  </sheetViews>
  <sheetFormatPr defaultRowHeight="14.4" x14ac:dyDescent="0.3"/>
  <cols>
    <col min="1" max="1" width="17.44140625" bestFit="1" customWidth="1"/>
    <col min="2" max="2" width="22.88671875" bestFit="1" customWidth="1"/>
    <col min="3" max="3" width="14.6640625" bestFit="1" customWidth="1"/>
    <col min="4" max="4" width="18" bestFit="1" customWidth="1"/>
    <col min="5" max="5" width="17.88671875" bestFit="1" customWidth="1"/>
    <col min="6" max="6" width="10.77734375" bestFit="1" customWidth="1"/>
  </cols>
  <sheetData>
    <row r="3" spans="1:2" x14ac:dyDescent="0.3">
      <c r="A3" s="2" t="s">
        <v>60</v>
      </c>
      <c r="B3" t="s">
        <v>115</v>
      </c>
    </row>
    <row r="4" spans="1:2" x14ac:dyDescent="0.3">
      <c r="A4" s="3" t="s">
        <v>32</v>
      </c>
      <c r="B4" s="5">
        <v>1211.9099999999999</v>
      </c>
    </row>
    <row r="5" spans="1:2" x14ac:dyDescent="0.3">
      <c r="A5" s="3" t="s">
        <v>31</v>
      </c>
      <c r="B5" s="5">
        <v>1651.3100000000002</v>
      </c>
    </row>
    <row r="6" spans="1:2" x14ac:dyDescent="0.3">
      <c r="A6" s="3" t="s">
        <v>33</v>
      </c>
      <c r="B6" s="5">
        <v>185.57</v>
      </c>
    </row>
    <row r="7" spans="1:2" x14ac:dyDescent="0.3">
      <c r="A7" s="3" t="s">
        <v>34</v>
      </c>
      <c r="B7" s="5">
        <v>255.15</v>
      </c>
    </row>
    <row r="8" spans="1:2" x14ac:dyDescent="0.3">
      <c r="A8" s="3" t="s">
        <v>59</v>
      </c>
      <c r="B8" s="5">
        <v>3303.9400000000005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L8" sqref="L8"/>
    </sheetView>
  </sheetViews>
  <sheetFormatPr defaultRowHeight="14.4" x14ac:dyDescent="0.3"/>
  <cols>
    <col min="1" max="1" width="26.33203125" customWidth="1"/>
    <col min="2" max="2" width="20.21875" customWidth="1"/>
    <col min="3" max="3" width="15" customWidth="1"/>
    <col min="4" max="4" width="20.109375" customWidth="1"/>
    <col min="5" max="5" width="28.21875" customWidth="1"/>
    <col min="6" max="6" width="21.33203125" customWidth="1"/>
    <col min="7" max="7" width="16.33203125" customWidth="1"/>
    <col min="8" max="8" width="13.88671875" customWidth="1"/>
  </cols>
  <sheetData>
    <row r="1" spans="1:9" x14ac:dyDescent="0.3">
      <c r="A1" s="1" t="s">
        <v>121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t="s">
        <v>31</v>
      </c>
      <c r="C2">
        <v>156</v>
      </c>
      <c r="D2">
        <v>41.02</v>
      </c>
      <c r="E2">
        <v>31.36</v>
      </c>
      <c r="F2">
        <v>5.62</v>
      </c>
      <c r="G2">
        <v>79.489999999999995</v>
      </c>
      <c r="H2">
        <v>-38.47</v>
      </c>
      <c r="I2" t="s">
        <v>35</v>
      </c>
    </row>
    <row r="3" spans="1:9" x14ac:dyDescent="0.3">
      <c r="A3" t="s">
        <v>9</v>
      </c>
      <c r="B3" t="s">
        <v>32</v>
      </c>
      <c r="C3">
        <v>156</v>
      </c>
      <c r="D3">
        <v>222.08</v>
      </c>
      <c r="E3">
        <v>142.08000000000001</v>
      </c>
      <c r="F3">
        <v>56.16</v>
      </c>
      <c r="G3">
        <v>265.67</v>
      </c>
      <c r="H3">
        <v>-43.59</v>
      </c>
      <c r="I3" t="s">
        <v>36</v>
      </c>
    </row>
    <row r="4" spans="1:9" x14ac:dyDescent="0.3">
      <c r="A4" t="s">
        <v>10</v>
      </c>
      <c r="B4" t="s">
        <v>31</v>
      </c>
      <c r="C4">
        <v>365</v>
      </c>
      <c r="D4">
        <v>89.96</v>
      </c>
      <c r="E4">
        <v>66</v>
      </c>
      <c r="F4">
        <v>10.220000000000001</v>
      </c>
      <c r="G4">
        <v>190.74</v>
      </c>
      <c r="H4">
        <v>-100.78</v>
      </c>
      <c r="I4" t="s">
        <v>37</v>
      </c>
    </row>
    <row r="5" spans="1:9" x14ac:dyDescent="0.3">
      <c r="A5" t="s">
        <v>11</v>
      </c>
      <c r="B5" t="s">
        <v>33</v>
      </c>
      <c r="C5">
        <v>365</v>
      </c>
      <c r="D5">
        <v>96.75</v>
      </c>
      <c r="E5">
        <v>73.06</v>
      </c>
      <c r="F5">
        <v>11.68</v>
      </c>
      <c r="G5">
        <v>136.51</v>
      </c>
      <c r="H5">
        <v>-39.76</v>
      </c>
      <c r="I5" t="s">
        <v>38</v>
      </c>
    </row>
    <row r="6" spans="1:9" x14ac:dyDescent="0.3">
      <c r="A6" t="s">
        <v>12</v>
      </c>
      <c r="B6" t="s">
        <v>32</v>
      </c>
      <c r="C6">
        <v>365</v>
      </c>
      <c r="D6">
        <v>697.59</v>
      </c>
      <c r="E6">
        <v>454.56</v>
      </c>
      <c r="F6">
        <v>192.72</v>
      </c>
      <c r="G6">
        <v>674.88</v>
      </c>
      <c r="H6">
        <v>22.71</v>
      </c>
      <c r="I6" t="s">
        <v>39</v>
      </c>
    </row>
    <row r="7" spans="1:9" x14ac:dyDescent="0.3">
      <c r="A7" t="s">
        <v>13</v>
      </c>
      <c r="B7" t="s">
        <v>31</v>
      </c>
      <c r="C7">
        <v>365</v>
      </c>
      <c r="D7">
        <v>57</v>
      </c>
      <c r="E7">
        <v>44.03</v>
      </c>
      <c r="F7">
        <v>4.67</v>
      </c>
      <c r="G7">
        <v>79.489999999999995</v>
      </c>
      <c r="H7">
        <v>-22.49</v>
      </c>
      <c r="I7" t="s">
        <v>40</v>
      </c>
    </row>
    <row r="8" spans="1:9" x14ac:dyDescent="0.3">
      <c r="A8" t="s">
        <v>14</v>
      </c>
      <c r="B8" t="s">
        <v>31</v>
      </c>
      <c r="C8">
        <v>156</v>
      </c>
      <c r="D8">
        <v>35.130000000000003</v>
      </c>
      <c r="E8">
        <v>26.58</v>
      </c>
      <c r="F8">
        <v>3.93</v>
      </c>
      <c r="G8">
        <v>63.57</v>
      </c>
      <c r="H8">
        <v>-28.44</v>
      </c>
      <c r="I8" t="s">
        <v>41</v>
      </c>
    </row>
    <row r="9" spans="1:9" x14ac:dyDescent="0.3">
      <c r="A9" t="s">
        <v>15</v>
      </c>
      <c r="B9" t="s">
        <v>31</v>
      </c>
      <c r="C9">
        <v>365</v>
      </c>
      <c r="D9">
        <v>77.97</v>
      </c>
      <c r="E9">
        <v>55.12</v>
      </c>
      <c r="F9">
        <v>10.95</v>
      </c>
      <c r="G9">
        <v>131.29</v>
      </c>
      <c r="H9">
        <v>-53.32</v>
      </c>
      <c r="I9" t="s">
        <v>42</v>
      </c>
    </row>
    <row r="10" spans="1:9" x14ac:dyDescent="0.3">
      <c r="A10" t="s">
        <v>16</v>
      </c>
      <c r="B10" t="s">
        <v>31</v>
      </c>
      <c r="C10">
        <v>365</v>
      </c>
      <c r="D10">
        <v>106.82</v>
      </c>
      <c r="E10">
        <v>80.930000000000007</v>
      </c>
      <c r="F10">
        <v>12.41</v>
      </c>
      <c r="G10">
        <v>167.11</v>
      </c>
      <c r="H10">
        <v>-60.29</v>
      </c>
      <c r="I10" t="s">
        <v>43</v>
      </c>
    </row>
    <row r="11" spans="1:9" x14ac:dyDescent="0.3">
      <c r="A11" t="s">
        <v>17</v>
      </c>
      <c r="B11" t="s">
        <v>33</v>
      </c>
      <c r="C11">
        <v>156</v>
      </c>
      <c r="D11">
        <v>23.96</v>
      </c>
      <c r="E11">
        <v>18.09</v>
      </c>
      <c r="F11">
        <v>2.5</v>
      </c>
      <c r="G11">
        <v>49.06</v>
      </c>
      <c r="H11">
        <v>-25.1</v>
      </c>
      <c r="I11" t="s">
        <v>44</v>
      </c>
    </row>
    <row r="12" spans="1:9" x14ac:dyDescent="0.3">
      <c r="A12" t="s">
        <v>18</v>
      </c>
      <c r="B12" t="s">
        <v>31</v>
      </c>
      <c r="C12">
        <v>365</v>
      </c>
      <c r="D12">
        <v>68.42</v>
      </c>
      <c r="E12">
        <v>49.6</v>
      </c>
      <c r="F12">
        <v>9.1300000000000008</v>
      </c>
      <c r="G12">
        <v>152.53</v>
      </c>
      <c r="H12">
        <v>-84.11</v>
      </c>
      <c r="I12" t="s">
        <v>45</v>
      </c>
    </row>
    <row r="13" spans="1:9" x14ac:dyDescent="0.3">
      <c r="A13" t="s">
        <v>19</v>
      </c>
      <c r="B13" t="s">
        <v>31</v>
      </c>
      <c r="C13">
        <v>156</v>
      </c>
      <c r="D13">
        <v>29.44</v>
      </c>
      <c r="E13">
        <v>22.16</v>
      </c>
      <c r="F13">
        <v>4.03</v>
      </c>
      <c r="G13">
        <v>56.34</v>
      </c>
      <c r="H13">
        <v>-26.9</v>
      </c>
      <c r="I13" t="s">
        <v>46</v>
      </c>
    </row>
    <row r="14" spans="1:9" x14ac:dyDescent="0.3">
      <c r="A14" t="s">
        <v>20</v>
      </c>
      <c r="B14" t="s">
        <v>31</v>
      </c>
      <c r="C14">
        <v>365</v>
      </c>
      <c r="D14">
        <v>74.319999999999993</v>
      </c>
      <c r="E14">
        <v>55.64</v>
      </c>
      <c r="F14">
        <v>10.35</v>
      </c>
      <c r="G14">
        <v>135.01</v>
      </c>
      <c r="H14">
        <v>-60.69</v>
      </c>
      <c r="I14" t="s">
        <v>47</v>
      </c>
    </row>
    <row r="15" spans="1:9" x14ac:dyDescent="0.3">
      <c r="A15" t="s">
        <v>21</v>
      </c>
      <c r="B15" t="s">
        <v>31</v>
      </c>
      <c r="C15">
        <v>365</v>
      </c>
      <c r="D15">
        <v>88.8</v>
      </c>
      <c r="E15">
        <v>67.38</v>
      </c>
      <c r="F15">
        <v>9.86</v>
      </c>
      <c r="G15">
        <v>172.67</v>
      </c>
      <c r="H15">
        <v>-83.87</v>
      </c>
      <c r="I15" t="s">
        <v>48</v>
      </c>
    </row>
    <row r="16" spans="1:9" x14ac:dyDescent="0.3">
      <c r="A16" t="s">
        <v>22</v>
      </c>
      <c r="B16" t="s">
        <v>34</v>
      </c>
      <c r="C16">
        <v>156</v>
      </c>
      <c r="D16">
        <v>143.63</v>
      </c>
      <c r="E16">
        <v>104.21</v>
      </c>
      <c r="F16">
        <v>25.19</v>
      </c>
      <c r="G16">
        <v>125.87</v>
      </c>
      <c r="H16">
        <v>17.760000000000002</v>
      </c>
      <c r="I16" t="s">
        <v>49</v>
      </c>
    </row>
    <row r="17" spans="1:9" x14ac:dyDescent="0.3">
      <c r="A17" t="s">
        <v>23</v>
      </c>
      <c r="B17" t="s">
        <v>34</v>
      </c>
      <c r="C17">
        <v>156</v>
      </c>
      <c r="D17">
        <v>157.97999999999999</v>
      </c>
      <c r="E17">
        <v>117.23</v>
      </c>
      <c r="F17">
        <v>26.52</v>
      </c>
      <c r="G17">
        <v>129.28</v>
      </c>
      <c r="H17">
        <v>28.7</v>
      </c>
      <c r="I17" t="s">
        <v>50</v>
      </c>
    </row>
    <row r="18" spans="1:9" x14ac:dyDescent="0.3">
      <c r="A18" t="s">
        <v>24</v>
      </c>
      <c r="B18" t="s">
        <v>31</v>
      </c>
      <c r="C18">
        <v>156</v>
      </c>
      <c r="D18">
        <v>28.93</v>
      </c>
      <c r="E18">
        <v>20.64</v>
      </c>
      <c r="F18">
        <v>3.65</v>
      </c>
      <c r="G18">
        <v>57.3</v>
      </c>
      <c r="H18">
        <v>-28.37</v>
      </c>
      <c r="I18" t="s">
        <v>51</v>
      </c>
    </row>
    <row r="19" spans="1:9" x14ac:dyDescent="0.3">
      <c r="A19" t="s">
        <v>25</v>
      </c>
      <c r="B19" t="s">
        <v>31</v>
      </c>
      <c r="C19">
        <v>156</v>
      </c>
      <c r="D19">
        <v>36.61</v>
      </c>
      <c r="E19">
        <v>27.69</v>
      </c>
      <c r="F19">
        <v>3.93</v>
      </c>
      <c r="G19">
        <v>65.94</v>
      </c>
      <c r="H19">
        <v>-29.33</v>
      </c>
      <c r="I19" t="s">
        <v>52</v>
      </c>
    </row>
    <row r="20" spans="1:9" x14ac:dyDescent="0.3">
      <c r="A20" t="s">
        <v>26</v>
      </c>
      <c r="B20" t="s">
        <v>31</v>
      </c>
      <c r="C20">
        <v>156</v>
      </c>
      <c r="D20">
        <v>33.21</v>
      </c>
      <c r="E20">
        <v>24.94</v>
      </c>
      <c r="F20">
        <v>3.65</v>
      </c>
      <c r="G20">
        <v>70.680000000000007</v>
      </c>
      <c r="H20">
        <v>-37.46</v>
      </c>
      <c r="I20" t="s">
        <v>53</v>
      </c>
    </row>
    <row r="21" spans="1:9" x14ac:dyDescent="0.3">
      <c r="A21" t="s">
        <v>27</v>
      </c>
      <c r="B21" t="s">
        <v>31</v>
      </c>
      <c r="C21">
        <v>156</v>
      </c>
      <c r="D21">
        <v>34.880000000000003</v>
      </c>
      <c r="E21">
        <v>26.33</v>
      </c>
      <c r="F21">
        <v>3.73</v>
      </c>
      <c r="G21">
        <v>62.85</v>
      </c>
      <c r="H21">
        <v>-27.97</v>
      </c>
      <c r="I21" t="s">
        <v>54</v>
      </c>
    </row>
    <row r="22" spans="1:9" x14ac:dyDescent="0.3">
      <c r="A22" t="s">
        <v>28</v>
      </c>
      <c r="B22" t="s">
        <v>31</v>
      </c>
      <c r="C22">
        <v>156</v>
      </c>
      <c r="D22">
        <v>32.44</v>
      </c>
      <c r="E22">
        <v>24.36</v>
      </c>
      <c r="F22">
        <v>3.48</v>
      </c>
      <c r="G22">
        <v>68.94</v>
      </c>
      <c r="H22">
        <v>-36.5</v>
      </c>
      <c r="I22" t="s">
        <v>55</v>
      </c>
    </row>
    <row r="23" spans="1:9" x14ac:dyDescent="0.3">
      <c r="A23" t="s">
        <v>29</v>
      </c>
      <c r="B23" t="s">
        <v>32</v>
      </c>
      <c r="C23">
        <v>156</v>
      </c>
      <c r="D23">
        <v>187.2</v>
      </c>
      <c r="E23">
        <v>131.04</v>
      </c>
      <c r="F23">
        <v>56.16</v>
      </c>
      <c r="G23">
        <v>271.36</v>
      </c>
      <c r="H23">
        <v>-84.16</v>
      </c>
      <c r="I23" t="s">
        <v>56</v>
      </c>
    </row>
    <row r="24" spans="1:9" x14ac:dyDescent="0.3">
      <c r="A24" t="s">
        <v>30</v>
      </c>
      <c r="B24" t="s">
        <v>31</v>
      </c>
      <c r="C24">
        <v>208</v>
      </c>
      <c r="D24">
        <v>61.22</v>
      </c>
      <c r="E24">
        <v>48.92</v>
      </c>
      <c r="F24">
        <v>5.62</v>
      </c>
      <c r="G24">
        <v>97.36</v>
      </c>
      <c r="H24">
        <v>-36.14</v>
      </c>
      <c r="I24" t="s">
        <v>57</v>
      </c>
    </row>
    <row r="28" spans="1:9" x14ac:dyDescent="0.3">
      <c r="A28" t="s">
        <v>119</v>
      </c>
      <c r="B28" t="s">
        <v>120</v>
      </c>
    </row>
    <row r="29" spans="1:9" x14ac:dyDescent="0.3">
      <c r="A29" t="s">
        <v>31</v>
      </c>
      <c r="B29">
        <v>1</v>
      </c>
    </row>
    <row r="30" spans="1:9" x14ac:dyDescent="0.3">
      <c r="A30" t="s">
        <v>32</v>
      </c>
      <c r="B30">
        <v>2</v>
      </c>
    </row>
    <row r="31" spans="1:9" x14ac:dyDescent="0.3">
      <c r="A31" t="s">
        <v>33</v>
      </c>
      <c r="B31">
        <v>3</v>
      </c>
    </row>
    <row r="32" spans="1:9" x14ac:dyDescent="0.3">
      <c r="A32" t="s">
        <v>34</v>
      </c>
      <c r="B32">
        <v>4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2DB755A3-1158-480B-8482-0AFCF62F8358}">
          <xm:f>Sheet1!1:1048576</xm:f>
        </x15:webExtension>
      </x15:webExtens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60D4-DBD2-49F0-8C23-E7E132151B1F}">
  <dimension ref="A1:E6"/>
  <sheetViews>
    <sheetView workbookViewId="0"/>
  </sheetViews>
  <sheetFormatPr defaultRowHeight="14.4" x14ac:dyDescent="0.3"/>
  <cols>
    <col min="1" max="1" width="9.109375" customWidth="1"/>
    <col min="2" max="2" width="17.6640625" customWidth="1"/>
    <col min="3" max="3" width="26" customWidth="1"/>
    <col min="4" max="4" width="40.109375" customWidth="1"/>
    <col min="5" max="5" width="40.21875" customWidth="1"/>
  </cols>
  <sheetData>
    <row r="1" spans="1:5" x14ac:dyDescent="0.3">
      <c r="A1" t="s">
        <v>0</v>
      </c>
      <c r="B1" t="s">
        <v>6</v>
      </c>
      <c r="C1" t="s">
        <v>122</v>
      </c>
      <c r="D1" t="s">
        <v>123</v>
      </c>
      <c r="E1" t="s">
        <v>124</v>
      </c>
    </row>
    <row r="2" spans="1:5" x14ac:dyDescent="0.3">
      <c r="A2">
        <v>1</v>
      </c>
      <c r="B2">
        <v>-47.195625</v>
      </c>
    </row>
    <row r="3" spans="1:5" x14ac:dyDescent="0.3">
      <c r="A3">
        <v>2</v>
      </c>
      <c r="B3">
        <v>-35.013333333333328</v>
      </c>
    </row>
    <row r="4" spans="1:5" x14ac:dyDescent="0.3">
      <c r="A4">
        <v>3</v>
      </c>
      <c r="B4">
        <v>-32.43</v>
      </c>
    </row>
    <row r="5" spans="1:5" x14ac:dyDescent="0.3">
      <c r="A5">
        <v>4</v>
      </c>
      <c r="B5">
        <v>23.23</v>
      </c>
      <c r="C5">
        <v>23.23</v>
      </c>
      <c r="D5" s="15">
        <v>23.23</v>
      </c>
      <c r="E5" s="15">
        <v>23.23</v>
      </c>
    </row>
    <row r="6" spans="1:5" x14ac:dyDescent="0.3">
      <c r="A6">
        <v>5</v>
      </c>
      <c r="C6">
        <f>_xlfn.FORECAST.ETS(A6,$B$2:$B$5,$A$2:$A$5,1,1)</f>
        <v>36.045973589223138</v>
      </c>
      <c r="D6" s="15">
        <f>C6-_xlfn.FORECAST.ETS.CONFINT(A6,$B$2:$B$5,$A$2:$A$5,0.95,1,1)</f>
        <v>4.7575832500155215</v>
      </c>
      <c r="E6" s="15">
        <f>C6+_xlfn.FORECAST.ETS.CONFINT(A6,$B$2:$B$5,$A$2:$A$5,0.95,1,1)</f>
        <v>67.334363928430747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05E4-E2B1-4CC3-8440-0E53E3DFE4A7}">
  <dimension ref="A1:L33"/>
  <sheetViews>
    <sheetView tabSelected="1" zoomScale="66" workbookViewId="0">
      <selection activeCell="F27" sqref="F27"/>
    </sheetView>
  </sheetViews>
  <sheetFormatPr defaultRowHeight="14.4" x14ac:dyDescent="0.3"/>
  <cols>
    <col min="1" max="1" width="29.88671875" customWidth="1"/>
    <col min="2" max="2" width="18.77734375" customWidth="1"/>
    <col min="3" max="3" width="18.109375" customWidth="1"/>
    <col min="4" max="4" width="22.21875" customWidth="1"/>
    <col min="5" max="5" width="26.21875" customWidth="1"/>
    <col min="6" max="6" width="23" customWidth="1"/>
    <col min="7" max="7" width="23.33203125" customWidth="1"/>
    <col min="8" max="8" width="15.21875" customWidth="1"/>
    <col min="9" max="9" width="13.88671875" customWidth="1"/>
  </cols>
  <sheetData>
    <row r="1" spans="1:9" x14ac:dyDescent="0.3">
      <c r="A1" s="1" t="s">
        <v>121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>
        <v>1</v>
      </c>
      <c r="C2">
        <v>156</v>
      </c>
      <c r="D2">
        <v>41.02</v>
      </c>
      <c r="E2">
        <v>31.36</v>
      </c>
      <c r="F2">
        <v>5.62</v>
      </c>
      <c r="G2">
        <v>79.489999999999995</v>
      </c>
      <c r="H2">
        <v>-38.47</v>
      </c>
      <c r="I2" t="s">
        <v>35</v>
      </c>
    </row>
    <row r="3" spans="1:9" x14ac:dyDescent="0.3">
      <c r="A3" t="s">
        <v>9</v>
      </c>
      <c r="B3">
        <v>2</v>
      </c>
      <c r="C3">
        <v>156</v>
      </c>
      <c r="D3">
        <v>222.08</v>
      </c>
      <c r="E3">
        <v>142.08000000000001</v>
      </c>
      <c r="F3">
        <v>56.16</v>
      </c>
      <c r="G3">
        <v>265.67</v>
      </c>
      <c r="H3">
        <v>-43.59</v>
      </c>
      <c r="I3" t="s">
        <v>36</v>
      </c>
    </row>
    <row r="4" spans="1:9" x14ac:dyDescent="0.3">
      <c r="A4" t="s">
        <v>10</v>
      </c>
      <c r="B4">
        <v>1</v>
      </c>
      <c r="C4">
        <v>365</v>
      </c>
      <c r="D4">
        <v>89.96</v>
      </c>
      <c r="E4">
        <v>66</v>
      </c>
      <c r="F4">
        <v>10.220000000000001</v>
      </c>
      <c r="G4">
        <v>190.74</v>
      </c>
      <c r="H4">
        <v>-100.78</v>
      </c>
      <c r="I4" t="s">
        <v>37</v>
      </c>
    </row>
    <row r="5" spans="1:9" x14ac:dyDescent="0.3">
      <c r="A5" t="s">
        <v>11</v>
      </c>
      <c r="B5">
        <v>3</v>
      </c>
      <c r="C5">
        <v>365</v>
      </c>
      <c r="D5">
        <v>96.75</v>
      </c>
      <c r="E5">
        <v>73.06</v>
      </c>
      <c r="F5">
        <v>11.68</v>
      </c>
      <c r="G5">
        <v>136.51</v>
      </c>
      <c r="H5">
        <v>-39.76</v>
      </c>
      <c r="I5" t="s">
        <v>38</v>
      </c>
    </row>
    <row r="6" spans="1:9" x14ac:dyDescent="0.3">
      <c r="A6" t="s">
        <v>12</v>
      </c>
      <c r="B6">
        <v>2</v>
      </c>
      <c r="C6">
        <v>365</v>
      </c>
      <c r="D6">
        <v>697.59</v>
      </c>
      <c r="E6">
        <v>454.56</v>
      </c>
      <c r="F6">
        <v>192.72</v>
      </c>
      <c r="G6">
        <v>674.88</v>
      </c>
      <c r="H6">
        <v>22.71</v>
      </c>
      <c r="I6" t="s">
        <v>39</v>
      </c>
    </row>
    <row r="7" spans="1:9" x14ac:dyDescent="0.3">
      <c r="A7" t="s">
        <v>13</v>
      </c>
      <c r="B7">
        <v>1</v>
      </c>
      <c r="C7">
        <v>365</v>
      </c>
      <c r="D7">
        <v>57</v>
      </c>
      <c r="E7">
        <v>44.03</v>
      </c>
      <c r="F7">
        <v>4.67</v>
      </c>
      <c r="G7">
        <v>79.489999999999995</v>
      </c>
      <c r="H7">
        <v>-22.49</v>
      </c>
      <c r="I7" t="s">
        <v>40</v>
      </c>
    </row>
    <row r="8" spans="1:9" x14ac:dyDescent="0.3">
      <c r="A8" t="s">
        <v>14</v>
      </c>
      <c r="B8">
        <v>1</v>
      </c>
      <c r="C8">
        <v>156</v>
      </c>
      <c r="D8">
        <v>35.130000000000003</v>
      </c>
      <c r="E8">
        <v>26.58</v>
      </c>
      <c r="F8">
        <v>3.93</v>
      </c>
      <c r="G8">
        <v>63.57</v>
      </c>
      <c r="H8">
        <v>-28.44</v>
      </c>
      <c r="I8" t="s">
        <v>41</v>
      </c>
    </row>
    <row r="9" spans="1:9" x14ac:dyDescent="0.3">
      <c r="A9" t="s">
        <v>15</v>
      </c>
      <c r="B9">
        <v>1</v>
      </c>
      <c r="C9">
        <v>365</v>
      </c>
      <c r="D9">
        <v>77.97</v>
      </c>
      <c r="E9">
        <v>55.12</v>
      </c>
      <c r="F9">
        <v>10.95</v>
      </c>
      <c r="G9">
        <v>131.29</v>
      </c>
      <c r="H9">
        <v>-53.32</v>
      </c>
      <c r="I9" t="s">
        <v>42</v>
      </c>
    </row>
    <row r="10" spans="1:9" x14ac:dyDescent="0.3">
      <c r="A10" t="s">
        <v>16</v>
      </c>
      <c r="B10">
        <v>1</v>
      </c>
      <c r="C10">
        <v>365</v>
      </c>
      <c r="D10">
        <v>106.82</v>
      </c>
      <c r="E10">
        <v>80.930000000000007</v>
      </c>
      <c r="F10">
        <v>12.41</v>
      </c>
      <c r="G10">
        <v>167.11</v>
      </c>
      <c r="H10">
        <v>-60.29</v>
      </c>
      <c r="I10" t="s">
        <v>43</v>
      </c>
    </row>
    <row r="11" spans="1:9" x14ac:dyDescent="0.3">
      <c r="A11" t="s">
        <v>17</v>
      </c>
      <c r="B11">
        <v>3</v>
      </c>
      <c r="C11">
        <v>156</v>
      </c>
      <c r="D11">
        <v>23.96</v>
      </c>
      <c r="E11">
        <v>18.09</v>
      </c>
      <c r="F11">
        <v>2.5</v>
      </c>
      <c r="G11">
        <v>49.06</v>
      </c>
      <c r="H11">
        <v>-25.1</v>
      </c>
      <c r="I11" t="s">
        <v>44</v>
      </c>
    </row>
    <row r="12" spans="1:9" x14ac:dyDescent="0.3">
      <c r="A12" t="s">
        <v>18</v>
      </c>
      <c r="B12">
        <v>1</v>
      </c>
      <c r="C12">
        <v>365</v>
      </c>
      <c r="D12">
        <v>68.42</v>
      </c>
      <c r="E12">
        <v>49.6</v>
      </c>
      <c r="F12">
        <v>9.1300000000000008</v>
      </c>
      <c r="G12">
        <v>152.53</v>
      </c>
      <c r="H12">
        <v>-84.11</v>
      </c>
      <c r="I12" t="s">
        <v>45</v>
      </c>
    </row>
    <row r="13" spans="1:9" x14ac:dyDescent="0.3">
      <c r="A13" t="s">
        <v>19</v>
      </c>
      <c r="B13">
        <v>1</v>
      </c>
      <c r="C13">
        <v>156</v>
      </c>
      <c r="D13">
        <v>29.44</v>
      </c>
      <c r="E13">
        <v>22.16</v>
      </c>
      <c r="F13">
        <v>4.03</v>
      </c>
      <c r="G13">
        <v>56.34</v>
      </c>
      <c r="H13">
        <v>-26.9</v>
      </c>
      <c r="I13" t="s">
        <v>46</v>
      </c>
    </row>
    <row r="14" spans="1:9" x14ac:dyDescent="0.3">
      <c r="A14" t="s">
        <v>20</v>
      </c>
      <c r="B14">
        <v>1</v>
      </c>
      <c r="C14">
        <v>365</v>
      </c>
      <c r="D14">
        <v>74.319999999999993</v>
      </c>
      <c r="E14">
        <v>55.64</v>
      </c>
      <c r="F14">
        <v>10.35</v>
      </c>
      <c r="G14">
        <v>135.01</v>
      </c>
      <c r="H14">
        <v>-60.69</v>
      </c>
      <c r="I14" t="s">
        <v>47</v>
      </c>
    </row>
    <row r="15" spans="1:9" x14ac:dyDescent="0.3">
      <c r="A15" t="s">
        <v>21</v>
      </c>
      <c r="B15">
        <v>1</v>
      </c>
      <c r="C15">
        <v>365</v>
      </c>
      <c r="D15">
        <v>88.8</v>
      </c>
      <c r="E15">
        <v>67.38</v>
      </c>
      <c r="F15">
        <v>9.86</v>
      </c>
      <c r="G15">
        <v>172.67</v>
      </c>
      <c r="H15">
        <v>-83.87</v>
      </c>
      <c r="I15" t="s">
        <v>48</v>
      </c>
    </row>
    <row r="16" spans="1:9" x14ac:dyDescent="0.3">
      <c r="A16" t="s">
        <v>22</v>
      </c>
      <c r="B16">
        <v>4</v>
      </c>
      <c r="C16">
        <v>156</v>
      </c>
      <c r="D16">
        <v>143.63</v>
      </c>
      <c r="E16">
        <v>104.21</v>
      </c>
      <c r="F16">
        <v>25.19</v>
      </c>
      <c r="G16">
        <v>125.87</v>
      </c>
      <c r="H16">
        <v>17.760000000000002</v>
      </c>
      <c r="I16" t="s">
        <v>49</v>
      </c>
    </row>
    <row r="17" spans="1:12" x14ac:dyDescent="0.3">
      <c r="A17" t="s">
        <v>23</v>
      </c>
      <c r="B17">
        <v>4</v>
      </c>
      <c r="C17">
        <v>156</v>
      </c>
      <c r="D17">
        <v>157.97999999999999</v>
      </c>
      <c r="E17">
        <v>117.23</v>
      </c>
      <c r="F17">
        <v>26.52</v>
      </c>
      <c r="G17">
        <v>129.28</v>
      </c>
      <c r="H17">
        <v>28.7</v>
      </c>
      <c r="I17" t="s">
        <v>50</v>
      </c>
    </row>
    <row r="18" spans="1:12" x14ac:dyDescent="0.3">
      <c r="A18" t="s">
        <v>24</v>
      </c>
      <c r="B18">
        <v>1</v>
      </c>
      <c r="C18">
        <v>156</v>
      </c>
      <c r="D18">
        <v>28.93</v>
      </c>
      <c r="E18">
        <v>20.64</v>
      </c>
      <c r="F18">
        <v>3.65</v>
      </c>
      <c r="G18">
        <v>57.3</v>
      </c>
      <c r="H18">
        <v>-28.37</v>
      </c>
      <c r="I18" t="s">
        <v>51</v>
      </c>
    </row>
    <row r="19" spans="1:12" x14ac:dyDescent="0.3">
      <c r="A19" t="s">
        <v>25</v>
      </c>
      <c r="B19">
        <v>1</v>
      </c>
      <c r="C19">
        <v>156</v>
      </c>
      <c r="D19">
        <v>36.61</v>
      </c>
      <c r="E19">
        <v>27.69</v>
      </c>
      <c r="F19">
        <v>3.93</v>
      </c>
      <c r="G19">
        <v>65.94</v>
      </c>
      <c r="H19">
        <v>-29.33</v>
      </c>
      <c r="I19" t="s">
        <v>52</v>
      </c>
    </row>
    <row r="20" spans="1:12" x14ac:dyDescent="0.3">
      <c r="A20" t="s">
        <v>26</v>
      </c>
      <c r="B20">
        <v>1</v>
      </c>
      <c r="C20">
        <v>156</v>
      </c>
      <c r="D20">
        <v>33.21</v>
      </c>
      <c r="E20">
        <v>24.94</v>
      </c>
      <c r="F20">
        <v>3.65</v>
      </c>
      <c r="G20">
        <v>70.680000000000007</v>
      </c>
      <c r="H20">
        <v>-37.46</v>
      </c>
      <c r="I20" t="s">
        <v>53</v>
      </c>
    </row>
    <row r="21" spans="1:12" x14ac:dyDescent="0.3">
      <c r="A21" t="s">
        <v>27</v>
      </c>
      <c r="B21">
        <v>1</v>
      </c>
      <c r="C21">
        <v>156</v>
      </c>
      <c r="D21">
        <v>34.880000000000003</v>
      </c>
      <c r="E21">
        <v>26.33</v>
      </c>
      <c r="F21">
        <v>3.73</v>
      </c>
      <c r="G21">
        <v>62.85</v>
      </c>
      <c r="H21">
        <v>-27.97</v>
      </c>
      <c r="I21" t="s">
        <v>54</v>
      </c>
    </row>
    <row r="22" spans="1:12" x14ac:dyDescent="0.3">
      <c r="A22" t="s">
        <v>28</v>
      </c>
      <c r="B22">
        <v>1</v>
      </c>
      <c r="C22">
        <v>156</v>
      </c>
      <c r="D22">
        <v>32.44</v>
      </c>
      <c r="E22">
        <v>24.36</v>
      </c>
      <c r="F22">
        <v>3.48</v>
      </c>
      <c r="G22">
        <v>68.94</v>
      </c>
      <c r="H22">
        <v>-36.5</v>
      </c>
      <c r="I22" t="s">
        <v>55</v>
      </c>
    </row>
    <row r="23" spans="1:12" x14ac:dyDescent="0.3">
      <c r="A23" t="s">
        <v>29</v>
      </c>
      <c r="B23">
        <v>2</v>
      </c>
      <c r="C23">
        <v>156</v>
      </c>
      <c r="D23">
        <v>187.2</v>
      </c>
      <c r="E23">
        <v>131.04</v>
      </c>
      <c r="F23">
        <v>56.16</v>
      </c>
      <c r="G23">
        <v>271.36</v>
      </c>
      <c r="H23">
        <v>-84.16</v>
      </c>
      <c r="I23" t="s">
        <v>56</v>
      </c>
    </row>
    <row r="24" spans="1:12" x14ac:dyDescent="0.3">
      <c r="A24" t="s">
        <v>30</v>
      </c>
      <c r="B24">
        <v>1</v>
      </c>
      <c r="C24">
        <v>208</v>
      </c>
      <c r="D24">
        <v>61.22</v>
      </c>
      <c r="E24">
        <v>48.92</v>
      </c>
      <c r="F24">
        <v>5.62</v>
      </c>
      <c r="G24">
        <v>97.36</v>
      </c>
      <c r="H24">
        <v>-36.14</v>
      </c>
      <c r="I24" t="s">
        <v>57</v>
      </c>
    </row>
    <row r="27" spans="1:12" x14ac:dyDescent="0.3">
      <c r="G27" t="s">
        <v>0</v>
      </c>
      <c r="H27" t="s">
        <v>1</v>
      </c>
      <c r="I27" t="s">
        <v>2</v>
      </c>
      <c r="J27" t="s">
        <v>3</v>
      </c>
      <c r="K27" t="s">
        <v>4</v>
      </c>
      <c r="L27" t="s">
        <v>5</v>
      </c>
    </row>
    <row r="28" spans="1:12" x14ac:dyDescent="0.3">
      <c r="A28" t="s">
        <v>119</v>
      </c>
      <c r="B28" t="s">
        <v>120</v>
      </c>
      <c r="F28" t="s">
        <v>0</v>
      </c>
      <c r="G28">
        <v>1</v>
      </c>
    </row>
    <row r="29" spans="1:12" x14ac:dyDescent="0.3">
      <c r="A29" t="s">
        <v>31</v>
      </c>
      <c r="B29">
        <v>1</v>
      </c>
      <c r="F29" t="s">
        <v>1</v>
      </c>
      <c r="G29">
        <v>-0.20710986576271814</v>
      </c>
      <c r="H29">
        <v>1</v>
      </c>
    </row>
    <row r="30" spans="1:12" x14ac:dyDescent="0.3">
      <c r="A30" t="s">
        <v>32</v>
      </c>
      <c r="B30">
        <v>2</v>
      </c>
      <c r="F30" t="s">
        <v>2</v>
      </c>
      <c r="G30">
        <v>0.28888714685901928</v>
      </c>
      <c r="H30">
        <v>0.26206719641790149</v>
      </c>
      <c r="I30">
        <v>1</v>
      </c>
    </row>
    <row r="31" spans="1:12" x14ac:dyDescent="0.3">
      <c r="A31" t="s">
        <v>33</v>
      </c>
      <c r="B31">
        <v>3</v>
      </c>
      <c r="F31" t="s">
        <v>3</v>
      </c>
      <c r="G31">
        <v>0.30689636450294516</v>
      </c>
      <c r="H31">
        <v>0.27503854110234133</v>
      </c>
      <c r="I31">
        <v>0.99904805437634137</v>
      </c>
      <c r="J31">
        <v>1</v>
      </c>
    </row>
    <row r="32" spans="1:12" x14ac:dyDescent="0.3">
      <c r="A32" t="s">
        <v>34</v>
      </c>
      <c r="B32">
        <v>4</v>
      </c>
      <c r="F32" t="s">
        <v>4</v>
      </c>
      <c r="G32">
        <v>0.24876822852698235</v>
      </c>
      <c r="H32">
        <v>0.18697853443738377</v>
      </c>
      <c r="I32">
        <v>0.99112059183518464</v>
      </c>
      <c r="J32">
        <v>0.98630552045797271</v>
      </c>
      <c r="K32">
        <v>1</v>
      </c>
    </row>
    <row r="33" spans="6:12" x14ac:dyDescent="0.3">
      <c r="F33" t="s">
        <v>5</v>
      </c>
      <c r="G33">
        <v>0.16722799847020728</v>
      </c>
      <c r="H33">
        <v>0.37500637355732636</v>
      </c>
      <c r="I33">
        <v>0.97255771855932571</v>
      </c>
      <c r="J33">
        <v>0.97151517141106791</v>
      </c>
      <c r="K33">
        <v>0.96555309018109103</v>
      </c>
      <c r="L33">
        <v>1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B9CFDE35-8863-4674-A47A-D8559C2360AB}">
          <xm:f>Sheet9!B1:G24</xm:f>
        </x15:webExtension>
        <x15:webExtension appRef="{EC3B9AA3-BBBA-44C8-958C-82AE8378CB1B}">
          <xm:f>Sheet9!$F$27:$M$34</xm:f>
        </x15:webExtension>
      </x15:webExtens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5508-2035-4BA9-AB14-27A62BE1C2EC}">
  <dimension ref="A1:H24"/>
  <sheetViews>
    <sheetView workbookViewId="0">
      <selection activeCell="I15" sqref="I15"/>
    </sheetView>
  </sheetViews>
  <sheetFormatPr defaultRowHeight="14.4" x14ac:dyDescent="0.3"/>
  <cols>
    <col min="2" max="2" width="21.109375" customWidth="1"/>
    <col min="3" max="4" width="14.21875" customWidth="1"/>
    <col min="7" max="7" width="21.109375" customWidth="1"/>
    <col min="8" max="8" width="20.21875" customWidth="1"/>
  </cols>
  <sheetData>
    <row r="1" spans="1:8" x14ac:dyDescent="0.3">
      <c r="A1" t="s">
        <v>61</v>
      </c>
      <c r="B1" t="s">
        <v>62</v>
      </c>
      <c r="C1" t="s">
        <v>63</v>
      </c>
      <c r="D1" t="s">
        <v>64</v>
      </c>
      <c r="F1" t="s">
        <v>65</v>
      </c>
      <c r="G1" t="s">
        <v>66</v>
      </c>
      <c r="H1" t="s">
        <v>67</v>
      </c>
    </row>
    <row r="2" spans="1:8" x14ac:dyDescent="0.3">
      <c r="A2">
        <v>1</v>
      </c>
      <c r="B2" t="s">
        <v>68</v>
      </c>
      <c r="C2" t="s">
        <v>69</v>
      </c>
      <c r="G2" t="s">
        <v>70</v>
      </c>
      <c r="H2">
        <f>C3+C4</f>
        <v>180</v>
      </c>
    </row>
    <row r="3" spans="1:8" x14ac:dyDescent="0.3">
      <c r="A3">
        <v>2</v>
      </c>
      <c r="B3" t="s">
        <v>71</v>
      </c>
      <c r="C3">
        <v>12</v>
      </c>
      <c r="D3" t="s">
        <v>72</v>
      </c>
      <c r="G3" t="s">
        <v>73</v>
      </c>
      <c r="H3">
        <f>INT(C3*C5)</f>
        <v>9</v>
      </c>
    </row>
    <row r="4" spans="1:8" x14ac:dyDescent="0.3">
      <c r="A4">
        <v>3</v>
      </c>
      <c r="B4" t="s">
        <v>74</v>
      </c>
      <c r="C4">
        <v>168</v>
      </c>
      <c r="D4" t="s">
        <v>72</v>
      </c>
      <c r="G4" t="s">
        <v>75</v>
      </c>
      <c r="H4">
        <f>INT(C6*C4)</f>
        <v>147</v>
      </c>
    </row>
    <row r="5" spans="1:8" x14ac:dyDescent="0.3">
      <c r="A5">
        <v>4</v>
      </c>
      <c r="B5" t="s">
        <v>76</v>
      </c>
      <c r="C5">
        <v>0.8</v>
      </c>
      <c r="D5" t="s">
        <v>77</v>
      </c>
      <c r="G5" t="s">
        <v>78</v>
      </c>
      <c r="H5">
        <f>H3+H4</f>
        <v>156</v>
      </c>
    </row>
    <row r="6" spans="1:8" x14ac:dyDescent="0.3">
      <c r="A6">
        <v>5</v>
      </c>
      <c r="B6" t="s">
        <v>79</v>
      </c>
      <c r="C6">
        <v>0.88</v>
      </c>
      <c r="D6" t="s">
        <v>80</v>
      </c>
      <c r="G6" t="s">
        <v>81</v>
      </c>
      <c r="H6">
        <f>C7*C8</f>
        <v>156</v>
      </c>
    </row>
    <row r="7" spans="1:8" x14ac:dyDescent="0.3">
      <c r="A7">
        <v>6</v>
      </c>
      <c r="B7" t="s">
        <v>82</v>
      </c>
      <c r="C7">
        <v>3</v>
      </c>
      <c r="D7" t="s">
        <v>72</v>
      </c>
      <c r="G7" t="s">
        <v>83</v>
      </c>
      <c r="H7">
        <f>H3*C9</f>
        <v>270000</v>
      </c>
    </row>
    <row r="8" spans="1:8" x14ac:dyDescent="0.3">
      <c r="A8">
        <v>7</v>
      </c>
      <c r="B8" t="s">
        <v>84</v>
      </c>
      <c r="C8">
        <v>52</v>
      </c>
      <c r="D8" t="s">
        <v>72</v>
      </c>
      <c r="G8" t="s">
        <v>85</v>
      </c>
      <c r="H8">
        <f>H4*C10</f>
        <v>2058000</v>
      </c>
    </row>
    <row r="9" spans="1:8" x14ac:dyDescent="0.3">
      <c r="A9">
        <v>8</v>
      </c>
      <c r="B9" t="s">
        <v>86</v>
      </c>
      <c r="C9">
        <v>30000</v>
      </c>
      <c r="D9" t="s">
        <v>72</v>
      </c>
      <c r="G9" t="s">
        <v>87</v>
      </c>
      <c r="H9">
        <f>H5*C11</f>
        <v>234000</v>
      </c>
    </row>
    <row r="10" spans="1:8" x14ac:dyDescent="0.3">
      <c r="A10">
        <v>9</v>
      </c>
      <c r="B10" t="s">
        <v>88</v>
      </c>
      <c r="C10">
        <v>14000</v>
      </c>
      <c r="D10" t="s">
        <v>72</v>
      </c>
      <c r="G10" t="s">
        <v>89</v>
      </c>
      <c r="H10">
        <f>C12*C13</f>
        <v>20000</v>
      </c>
    </row>
    <row r="11" spans="1:8" x14ac:dyDescent="0.3">
      <c r="A11">
        <v>10</v>
      </c>
      <c r="B11" t="s">
        <v>90</v>
      </c>
      <c r="C11">
        <v>1500</v>
      </c>
      <c r="D11" t="s">
        <v>72</v>
      </c>
      <c r="G11" t="s">
        <v>91</v>
      </c>
      <c r="H11">
        <f>SUM(H7:H10)</f>
        <v>2582000</v>
      </c>
    </row>
    <row r="12" spans="1:8" x14ac:dyDescent="0.3">
      <c r="A12">
        <v>11</v>
      </c>
      <c r="B12" t="s">
        <v>92</v>
      </c>
      <c r="C12">
        <v>1</v>
      </c>
      <c r="D12" t="s">
        <v>72</v>
      </c>
      <c r="G12" t="s">
        <v>93</v>
      </c>
      <c r="H12">
        <f>C14*C15</f>
        <v>9450</v>
      </c>
    </row>
    <row r="13" spans="1:8" x14ac:dyDescent="0.3">
      <c r="A13">
        <v>12</v>
      </c>
      <c r="B13" t="s">
        <v>94</v>
      </c>
      <c r="C13">
        <v>20000</v>
      </c>
      <c r="D13" t="s">
        <v>72</v>
      </c>
      <c r="G13" t="s">
        <v>95</v>
      </c>
      <c r="H13">
        <f>H12/C16</f>
        <v>11812.5</v>
      </c>
    </row>
    <row r="14" spans="1:8" x14ac:dyDescent="0.3">
      <c r="A14">
        <v>13</v>
      </c>
      <c r="B14" t="s">
        <v>96</v>
      </c>
      <c r="C14">
        <v>2700</v>
      </c>
      <c r="D14" t="s">
        <v>72</v>
      </c>
      <c r="G14" t="s">
        <v>97</v>
      </c>
      <c r="H14">
        <f>H13*C17</f>
        <v>1063125</v>
      </c>
    </row>
    <row r="15" spans="1:8" x14ac:dyDescent="0.3">
      <c r="A15">
        <v>14</v>
      </c>
      <c r="B15" t="s">
        <v>98</v>
      </c>
      <c r="C15">
        <v>3.5</v>
      </c>
      <c r="D15" t="s">
        <v>72</v>
      </c>
      <c r="G15" t="s">
        <v>99</v>
      </c>
      <c r="H15">
        <f>SUM(C18:C22)</f>
        <v>2860000</v>
      </c>
    </row>
    <row r="16" spans="1:8" x14ac:dyDescent="0.3">
      <c r="A16">
        <v>15</v>
      </c>
      <c r="B16" t="s">
        <v>100</v>
      </c>
      <c r="C16">
        <v>0.8</v>
      </c>
      <c r="D16" t="s">
        <v>72</v>
      </c>
      <c r="G16" t="s">
        <v>101</v>
      </c>
      <c r="H16">
        <f>H14+H15</f>
        <v>3923125</v>
      </c>
    </row>
    <row r="17" spans="1:8" x14ac:dyDescent="0.3">
      <c r="A17">
        <v>16</v>
      </c>
      <c r="B17" t="s">
        <v>102</v>
      </c>
      <c r="C17">
        <v>90</v>
      </c>
      <c r="D17" t="s">
        <v>72</v>
      </c>
      <c r="G17" t="s">
        <v>103</v>
      </c>
      <c r="H17">
        <f>H11-H16</f>
        <v>-1341125</v>
      </c>
    </row>
    <row r="18" spans="1:8" x14ac:dyDescent="0.3">
      <c r="A18">
        <v>17</v>
      </c>
      <c r="B18" t="s">
        <v>104</v>
      </c>
      <c r="C18">
        <v>2000000</v>
      </c>
      <c r="D18" t="s">
        <v>72</v>
      </c>
      <c r="G18" t="s">
        <v>105</v>
      </c>
      <c r="H18">
        <f>H11*H6</f>
        <v>402792000</v>
      </c>
    </row>
    <row r="19" spans="1:8" x14ac:dyDescent="0.3">
      <c r="A19">
        <v>18</v>
      </c>
      <c r="B19" t="s">
        <v>106</v>
      </c>
      <c r="C19">
        <v>400000</v>
      </c>
      <c r="D19" t="s">
        <v>72</v>
      </c>
      <c r="G19" t="s">
        <v>107</v>
      </c>
      <c r="H19">
        <f>H16*H6</f>
        <v>612007500</v>
      </c>
    </row>
    <row r="20" spans="1:8" x14ac:dyDescent="0.3">
      <c r="A20">
        <v>19</v>
      </c>
      <c r="B20" t="s">
        <v>108</v>
      </c>
      <c r="C20">
        <v>150000</v>
      </c>
      <c r="D20" t="s">
        <v>72</v>
      </c>
      <c r="G20" t="s">
        <v>109</v>
      </c>
      <c r="H20">
        <f>H18-H19</f>
        <v>-209215500</v>
      </c>
    </row>
    <row r="21" spans="1:8" x14ac:dyDescent="0.3">
      <c r="A21">
        <v>20</v>
      </c>
      <c r="B21" t="s">
        <v>110</v>
      </c>
      <c r="C21">
        <v>250000</v>
      </c>
      <c r="D21" t="s">
        <v>72</v>
      </c>
      <c r="G21" t="s">
        <v>111</v>
      </c>
      <c r="H21">
        <f>H18/10000000</f>
        <v>40.279200000000003</v>
      </c>
    </row>
    <row r="22" spans="1:8" x14ac:dyDescent="0.3">
      <c r="A22">
        <v>21</v>
      </c>
      <c r="B22" t="s">
        <v>112</v>
      </c>
      <c r="C22">
        <v>60000</v>
      </c>
      <c r="D22" t="s">
        <v>72</v>
      </c>
      <c r="G22" t="s">
        <v>113</v>
      </c>
      <c r="H22">
        <f>H19/10000000</f>
        <v>61.200749999999999</v>
      </c>
    </row>
    <row r="23" spans="1:8" x14ac:dyDescent="0.3">
      <c r="G23" t="s">
        <v>114</v>
      </c>
      <c r="H23">
        <f>H20/10000000</f>
        <v>-20.92155</v>
      </c>
    </row>
    <row r="24" spans="1:8" x14ac:dyDescent="0.3">
      <c r="G24" t="s">
        <v>7</v>
      </c>
      <c r="H24">
        <f>IF(H21=0,0,H23/H21*100)</f>
        <v>-51.941324554608826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Sheet2</vt:lpstr>
      <vt:lpstr>Sheet4</vt:lpstr>
      <vt:lpstr>Sheet5</vt:lpstr>
      <vt:lpstr>Sheet6</vt:lpstr>
      <vt:lpstr>Sheet7</vt:lpstr>
      <vt:lpstr>Sheet8</vt:lpstr>
      <vt:lpstr>Sheet1</vt:lpstr>
      <vt:lpstr>Sheet10</vt:lpstr>
      <vt:lpstr>Sheet9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Naman Agarwal</cp:lastModifiedBy>
  <dcterms:created xsi:type="dcterms:W3CDTF">2025-11-15T14:00:13Z</dcterms:created>
  <dcterms:modified xsi:type="dcterms:W3CDTF">2025-11-15T20:20:35Z</dcterms:modified>
</cp:coreProperties>
</file>